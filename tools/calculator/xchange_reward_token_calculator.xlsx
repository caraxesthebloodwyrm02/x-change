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Rarity_Calc" sheetId="3" state="visible" r:id="rId3"/>
    <sheet name="Tier_Ref" sheetId="4" state="visible" r:id="rId4"/>
    <sheet name="Lifecycle" sheetId="5" state="visible" r:id="rId5"/>
    <sheet name="Token_Log" sheetId="6" state="visible" r:id="rId6"/>
    <sheet name="Exchange_Eval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000000"/>
      <sz val="9"/>
    </font>
    <font>
      <name val="Arial"/>
      <color rgb="FF000000"/>
      <sz val="10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008000"/>
      <sz val="10"/>
    </font>
    <font>
      <name val="Arial"/>
      <b val="1"/>
      <color rgb="FF000000"/>
      <sz val="10"/>
    </font>
    <font>
      <name val="Arial"/>
      <color rgb="FF0000FF"/>
      <sz val="10"/>
    </font>
    <font>
      <name val="Arial"/>
      <color rgb="FF000000"/>
      <sz val="9"/>
    </font>
    <font>
      <name val="Arial"/>
      <color rgb="FF008000"/>
      <sz val="10"/>
    </font>
  </fonts>
  <fills count="13">
    <fill>
      <patternFill/>
    </fill>
    <fill>
      <patternFill patternType="gray125"/>
    </fill>
    <fill>
      <patternFill patternType="solid">
        <fgColor rgb="FF244061"/>
      </patternFill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EBF7E2"/>
      </patternFill>
    </fill>
    <fill>
      <patternFill patternType="solid">
        <fgColor rgb="FFFFE699"/>
      </patternFill>
    </fill>
    <fill>
      <patternFill patternType="solid">
        <fgColor rgb="FFFFC7CE"/>
      </patternFill>
    </fill>
    <fill>
      <patternFill patternType="solid">
        <fgColor rgb="FFE2CFFF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2" fontId="8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165" fontId="10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/>
    </xf>
    <xf numFmtId="2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2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2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1" fontId="3" fillId="11" borderId="1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1" fontId="3" fillId="12" borderId="1" applyAlignment="1" pivotButton="0" quotePrefix="0" xfId="0">
      <alignment horizontal="center" vertical="center"/>
    </xf>
    <xf numFmtId="2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1" fontId="8" fillId="6" borderId="1" applyAlignment="1" pivotButton="0" quotePrefix="0" xfId="0">
      <alignment horizontal="left" vertical="center"/>
    </xf>
    <xf numFmtId="165" fontId="10" fillId="5" borderId="1" applyAlignment="1" pivotButton="0" quotePrefix="0" xfId="0">
      <alignment horizontal="left" vertical="center"/>
    </xf>
    <xf numFmtId="1" fontId="10" fillId="5" borderId="1" applyAlignment="1" pivotButton="0" quotePrefix="0" xfId="0">
      <alignment horizontal="left" vertical="center"/>
    </xf>
    <xf numFmtId="165" fontId="10" fillId="0" borderId="1" applyAlignment="1" pivotButton="0" quotePrefix="0" xfId="0">
      <alignment horizontal="left" vertical="center"/>
    </xf>
    <xf numFmtId="1" fontId="10" fillId="0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left" vertical="center"/>
    </xf>
    <xf numFmtId="166" fontId="10" fillId="5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left" vertical="center"/>
    </xf>
    <xf numFmtId="166" fontId="10" fillId="0" borderId="1" applyAlignment="1" pivotButton="0" quotePrefix="0" xfId="0">
      <alignment horizontal="left" vertical="center"/>
    </xf>
    <xf numFmtId="1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166" fontId="7" fillId="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1" fontId="10" fillId="10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left" vertical="center"/>
    </xf>
    <xf numFmtId="166" fontId="10" fillId="1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left" vertical="center"/>
    </xf>
    <xf numFmtId="166" fontId="10" fillId="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1" fontId="10" fillId="8" borderId="1" applyAlignment="1" pivotButton="0" quotePrefix="0" xfId="0">
      <alignment horizontal="left" vertical="center"/>
    </xf>
    <xf numFmtId="164" fontId="10" fillId="8" borderId="1" applyAlignment="1" pivotButton="0" quotePrefix="0" xfId="0">
      <alignment horizontal="left" vertical="center"/>
    </xf>
    <xf numFmtId="166" fontId="10" fillId="8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2" customWidth="1" min="3" max="3"/>
    <col width="42" customWidth="1" min="4" max="4"/>
    <col width="12" customWidth="1" min="5" max="5"/>
    <col width="12" customWidth="1" min="6" max="6"/>
  </cols>
  <sheetData>
    <row r="1" ht="48" customHeight="1">
      <c r="A1" s="1" t="inlineStr">
        <is>
          <t>x-change  —  Reward &amp; Token Calculator</t>
        </is>
      </c>
    </row>
    <row r="2" ht="8" customHeight="1"/>
    <row r="3" ht="14" customHeight="1">
      <c r="A3" s="2" t="inlineStr">
        <is>
          <t>Policy source: docs/policy-core-v0.md  |  Code: src/xchange/domain.py  |  Version: 1.0</t>
        </is>
      </c>
    </row>
    <row r="4" ht="60" customHeight="1">
      <c r="A4" s="3" t="inlineStr">
        <is>
          <t>This model implements the x-change v0 epistemic token lifecycle in full. It covers: (1) rarity scoring via the compute_rarity_score() formula with configurable weights, (2) all five InsightTier classifications and their backward-compatible integer amounts, (3) the six-state reward lifecycle and valid transition paths, (4) a live 15-token portfolio log with formula-driven rarity scores, (5) layered exchange constraint evaluation (safety → ethics → economic), and (6) a portfolio summary dashboard. All yellow cells are editable inputs (blue text). All black text cells are formulas — do not hardcode them.</t>
        </is>
      </c>
    </row>
    <row r="5" ht="8" customHeight="1"/>
    <row r="6" ht="16" customHeight="1">
      <c r="A6" s="4" t="inlineStr">
        <is>
          <t>Navigation</t>
        </is>
      </c>
      <c r="B6" s="5" t="n"/>
      <c r="C6" s="5" t="n"/>
      <c r="D6" s="6" t="n"/>
    </row>
    <row r="7" ht="18" customHeight="1">
      <c r="A7" s="7" t="inlineStr">
        <is>
          <t>Sheet</t>
        </is>
      </c>
      <c r="B7" s="7" t="inlineStr">
        <is>
          <t>Purpose</t>
        </is>
      </c>
      <c r="C7" s="7" t="inlineStr">
        <is>
          <t>Key Inputs</t>
        </is>
      </c>
      <c r="D7" s="7" t="inlineStr">
        <is>
          <t>Key Outputs</t>
        </is>
      </c>
    </row>
    <row r="8" ht="30" customHeight="1">
      <c r="A8" s="8" t="inlineStr">
        <is>
          <t>Assumptions</t>
        </is>
      </c>
      <c r="B8" s="9" t="inlineStr">
        <is>
          <t>All configurable parameters — edit here first</t>
        </is>
      </c>
      <c r="C8" s="9" t="inlineStr">
        <is>
          <t>Rarity weights, tier table, constraint config, blocked / irreversible key lists</t>
        </is>
      </c>
      <c r="D8" s="9" t="inlineStr">
        <is>
          <t>Named inputs referenced by all other sheets</t>
        </is>
      </c>
    </row>
    <row r="9" ht="30" customHeight="1">
      <c r="A9" s="10" t="inlineStr">
        <is>
          <t>Rarity_Calc</t>
        </is>
      </c>
      <c r="B9" s="3" t="inlineStr">
        <is>
          <t>Single-token rarity score calculator</t>
        </is>
      </c>
      <c r="C9" s="3" t="inlineStr">
        <is>
          <t>Insight tier, inferential richness, trend position</t>
        </is>
      </c>
      <c r="D9" s="3" t="inlineStr">
        <is>
          <t>Rarity score (0-1), component breakdown, tier amount</t>
        </is>
      </c>
    </row>
    <row r="10" ht="30" customHeight="1">
      <c r="A10" s="8" t="inlineStr">
        <is>
          <t>Tier_Ref</t>
        </is>
      </c>
      <c r="B10" s="9" t="inlineStr">
        <is>
          <t>InsightTier reference table</t>
        </is>
      </c>
      <c r="C10" s="9" t="inlineStr">
        <is>
          <t>None (reference only)</t>
        </is>
      </c>
      <c r="D10" s="9" t="inlineStr">
        <is>
          <t>Tier order, rarity weight, amount, description</t>
        </is>
      </c>
    </row>
    <row r="11" ht="30" customHeight="1">
      <c r="A11" s="10" t="inlineStr">
        <is>
          <t>Lifecycle</t>
        </is>
      </c>
      <c r="B11" s="3" t="inlineStr">
        <is>
          <t>Reward state machine and valid transitions</t>
        </is>
      </c>
      <c r="C11" s="3" t="inlineStr">
        <is>
          <t>Current state, evidence type, policy flags</t>
        </is>
      </c>
      <c r="D11" s="3" t="inlineStr">
        <is>
          <t>Valid next states, outcome state, notes</t>
        </is>
      </c>
    </row>
    <row r="12" ht="30" customHeight="1">
      <c r="A12" s="8" t="inlineStr">
        <is>
          <t>Token_Log</t>
        </is>
      </c>
      <c r="B12" s="9" t="inlineStr">
        <is>
          <t>Portfolio of 15 sample issued tokens</t>
        </is>
      </c>
      <c r="C12" s="9" t="inlineStr">
        <is>
          <t>Per-token: tier, base_bank_depth, inferential richness, trend position</t>
        </is>
      </c>
      <c r="D12" s="9" t="inlineStr">
        <is>
          <t>Rarity score, amount, portfolio-level stats</t>
        </is>
      </c>
    </row>
    <row r="13" ht="30" customHeight="1">
      <c r="A13" s="10" t="inlineStr">
        <is>
          <t>Exchange_Eval</t>
        </is>
      </c>
      <c r="B13" s="3" t="inlineStr">
        <is>
          <t>Layered exchange constraint evaluator</t>
        </is>
      </c>
      <c r="C13" s="3" t="inlineStr">
        <is>
          <t>Requested scope (up to 10 key-value pairs), explicit approval flag</t>
        </is>
      </c>
      <c r="D13" s="3" t="inlineStr">
        <is>
          <t>Per-layer pass/block/strip result, final approved scope, overall decision</t>
        </is>
      </c>
    </row>
    <row r="14" ht="30" customHeight="1">
      <c r="A14" s="8" t="inlineStr">
        <is>
          <t>Summary</t>
        </is>
      </c>
      <c r="B14" s="9" t="inlineStr">
        <is>
          <t>Portfolio dashboard — aggregate view</t>
        </is>
      </c>
      <c r="C14" s="9" t="inlineStr">
        <is>
          <t>Driven by Token_Log (no manual input)</t>
        </is>
      </c>
      <c r="D14" s="9" t="inlineStr">
        <is>
          <t>Tokens by tier, avg rarity by tier, total amount, rarity bands</t>
        </is>
      </c>
    </row>
    <row r="16" ht="8" customHeight="1"/>
    <row r="17" ht="16" customHeight="1">
      <c r="A17" s="4" t="inlineStr">
        <is>
          <t>Model Metadata</t>
        </is>
      </c>
      <c r="B17" s="5" t="n"/>
      <c r="C17" s="5" t="n"/>
      <c r="D17" s="6" t="n"/>
    </row>
    <row r="18">
      <c r="A18" s="11" t="inlineStr">
        <is>
          <t>Policy Version</t>
        </is>
      </c>
      <c r="B18" s="12" t="inlineStr">
        <is>
          <t>policy-core-v0</t>
        </is>
      </c>
    </row>
    <row r="19">
      <c r="A19" s="11" t="inlineStr">
        <is>
          <t>Model Version</t>
        </is>
      </c>
      <c r="B19" s="12" t="inlineStr">
        <is>
          <t>1.0</t>
        </is>
      </c>
    </row>
    <row r="20">
      <c r="A20" s="11" t="inlineStr">
        <is>
          <t>Domain Code</t>
        </is>
      </c>
      <c r="B20" s="12" t="inlineStr">
        <is>
          <t>src/xchange/domain.py</t>
        </is>
      </c>
    </row>
    <row r="21">
      <c r="A21" s="11" t="inlineStr">
        <is>
          <t>Rarity Formula</t>
        </is>
      </c>
      <c r="B21" s="12" t="inlineStr">
        <is>
          <t>0.4×(1−trend_position) + 0.4×inferential_richness + 0.2×tier_weight</t>
        </is>
      </c>
    </row>
    <row r="22">
      <c r="A22" s="11" t="inlineStr">
        <is>
          <t>Token Amounts</t>
        </is>
      </c>
      <c r="B22" s="12" t="inlineStr">
        <is>
          <t>surface=1, pattern=2, structural=3, causal=4, theoretical=5</t>
        </is>
      </c>
    </row>
    <row r="23">
      <c r="A23" s="11" t="inlineStr">
        <is>
          <t>Constraint Layers</t>
        </is>
      </c>
      <c r="B23" s="12" t="inlineStr">
        <is>
          <t>1. Safety/Security (hard gate)  2. Ethics/Irreversibility  3. Economic Stability</t>
        </is>
      </c>
    </row>
    <row r="24">
      <c r="A24" s="11" t="inlineStr">
        <is>
          <t>Build Date</t>
        </is>
      </c>
      <c r="B24" s="12" t="inlineStr">
        <is>
          <t>2026-05-07</t>
        </is>
      </c>
    </row>
  </sheetData>
  <mergeCells count="5">
    <mergeCell ref="A17:D17"/>
    <mergeCell ref="A6:D6"/>
    <mergeCell ref="A1:F1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30" customWidth="1" min="3" max="3"/>
    <col width="60" customWidth="1" min="4" max="4"/>
    <col width="14" customWidth="1" min="5" max="5"/>
  </cols>
  <sheetData>
    <row r="1" ht="16" customHeight="1">
      <c r="A1" s="4" t="inlineStr">
        <is>
          <t>A. Rarity Score Weights</t>
        </is>
      </c>
      <c r="B1" s="5" t="n"/>
      <c r="C1" s="5" t="n"/>
      <c r="D1" s="6" t="n"/>
    </row>
    <row r="2" ht="18" customHeight="1">
      <c r="A2" s="7" t="inlineStr">
        <is>
          <t>Parameter</t>
        </is>
      </c>
      <c r="B2" s="7" t="inlineStr">
        <is>
          <t>Value</t>
        </is>
      </c>
      <c r="C2" s="7" t="inlineStr">
        <is>
          <t>Validation</t>
        </is>
      </c>
      <c r="D2" s="7" t="inlineStr">
        <is>
          <t>Source</t>
        </is>
      </c>
    </row>
    <row r="3">
      <c r="A3" s="11" t="inlineStr">
        <is>
          <t>Emergence Weight (w_emergence)</t>
        </is>
      </c>
      <c r="B3" s="13" t="n">
        <v>0.4</v>
      </c>
      <c r="D3" s="14" t="inlineStr">
        <is>
          <t>Source: domain.py:compute_rarity_score, line 111</t>
        </is>
      </c>
    </row>
    <row r="4">
      <c r="A4" s="11" t="inlineStr">
        <is>
          <t>Inferential Richness Weight (w_inferential)</t>
        </is>
      </c>
      <c r="B4" s="13" t="n">
        <v>0.4</v>
      </c>
    </row>
    <row r="5">
      <c r="A5" s="11" t="inlineStr">
        <is>
          <t>Epistemic Tier Weight (w_tier)</t>
        </is>
      </c>
      <c r="B5" s="13" t="n">
        <v>0.2</v>
      </c>
    </row>
    <row r="6">
      <c r="A6" s="11" t="inlineStr">
        <is>
          <t>Weight Sum  (must equal 100.0%)</t>
        </is>
      </c>
      <c r="B6" s="15">
        <f>SUM(B3:B5)</f>
        <v/>
      </c>
      <c r="C6" s="12">
        <f>IF(ABS(B6-1)&lt;0.0001,"✓ OK","✗ ERROR — weights must sum to 1.0")</f>
        <v/>
      </c>
    </row>
    <row r="8" ht="16" customHeight="1">
      <c r="A8" s="4" t="inlineStr">
        <is>
          <t>B. Insight Tier Reference Table</t>
        </is>
      </c>
      <c r="B8" s="5" t="n"/>
      <c r="C8" s="5" t="n"/>
      <c r="D8" s="5" t="n"/>
      <c r="E8" s="6" t="n"/>
    </row>
    <row r="9" ht="18" customHeight="1">
      <c r="A9" s="7" t="inlineStr">
        <is>
          <t>Tier (text key)</t>
        </is>
      </c>
      <c r="B9" s="7" t="inlineStr">
        <is>
          <t>Rarity Weight</t>
        </is>
      </c>
      <c r="C9" s="7" t="inlineStr">
        <is>
          <t>Amount (int)</t>
        </is>
      </c>
      <c r="D9" s="7" t="inlineStr">
        <is>
          <t>Description</t>
        </is>
      </c>
      <c r="E9" s="7" t="inlineStr">
        <is>
          <t>Tier Order</t>
        </is>
      </c>
    </row>
    <row r="10">
      <c r="A10" s="16" t="inlineStr">
        <is>
          <t>surface</t>
        </is>
      </c>
      <c r="B10" s="17" t="n">
        <v>0</v>
      </c>
      <c r="C10" s="16" t="n">
        <v>1</v>
      </c>
      <c r="D10" s="18" t="inlineStr">
        <is>
          <t>Fact recall, basic recognition</t>
        </is>
      </c>
      <c r="E10" s="19" t="n">
        <v>1</v>
      </c>
    </row>
    <row r="11">
      <c r="A11" s="16" t="inlineStr">
        <is>
          <t>pattern</t>
        </is>
      </c>
      <c r="B11" s="17" t="n">
        <v>0.25</v>
      </c>
      <c r="C11" s="16" t="n">
        <v>2</v>
      </c>
      <c r="D11" s="12" t="inlineStr">
        <is>
          <t>Cross-domain pattern recognition</t>
        </is>
      </c>
      <c r="E11" s="20" t="n">
        <v>2</v>
      </c>
    </row>
    <row r="12">
      <c r="A12" s="16" t="inlineStr">
        <is>
          <t>structural</t>
        </is>
      </c>
      <c r="B12" s="17" t="n">
        <v>0.5</v>
      </c>
      <c r="C12" s="16" t="n">
        <v>3</v>
      </c>
      <c r="D12" s="18" t="inlineStr">
        <is>
          <t>Structural understanding, system maps</t>
        </is>
      </c>
      <c r="E12" s="19" t="n">
        <v>3</v>
      </c>
    </row>
    <row r="13">
      <c r="A13" s="16" t="inlineStr">
        <is>
          <t>causal</t>
        </is>
      </c>
      <c r="B13" s="17" t="n">
        <v>0.75</v>
      </c>
      <c r="C13" s="16" t="n">
        <v>4</v>
      </c>
      <c r="D13" s="12" t="inlineStr">
        <is>
          <t>Causal chain modelling, root cause</t>
        </is>
      </c>
      <c r="E13" s="20" t="n">
        <v>4</v>
      </c>
    </row>
    <row r="14">
      <c r="A14" s="16" t="inlineStr">
        <is>
          <t>theoretical</t>
        </is>
      </c>
      <c r="B14" s="17" t="n">
        <v>1</v>
      </c>
      <c r="C14" s="16" t="n">
        <v>5</v>
      </c>
      <c r="D14" s="18" t="inlineStr">
        <is>
          <t>Novel synthesis, theory building</t>
        </is>
      </c>
      <c r="E14" s="19" t="n">
        <v>5</v>
      </c>
    </row>
    <row r="15">
      <c r="D15" s="14" t="inlineStr">
        <is>
          <t>Source: domain.py:InsightTier + _TIER_AMOUNTS, lines 48-79</t>
        </is>
      </c>
    </row>
    <row r="17" ht="16" customHeight="1">
      <c r="A17" s="4" t="inlineStr">
        <is>
          <t>C. Economic Constraint Defaults</t>
        </is>
      </c>
      <c r="B17" s="5" t="n"/>
      <c r="C17" s="5" t="n"/>
      <c r="D17" s="6" t="n"/>
    </row>
    <row r="18" ht="18" customHeight="1">
      <c r="A18" s="7" t="inlineStr">
        <is>
          <t>Parameter</t>
        </is>
      </c>
      <c r="B18" s="7" t="inlineStr">
        <is>
          <t>Value</t>
        </is>
      </c>
      <c r="C18" s="7" t="inlineStr"/>
      <c r="D18" s="7" t="inlineStr">
        <is>
          <t>Source</t>
        </is>
      </c>
    </row>
    <row r="19">
      <c r="A19" s="21" t="inlineStr">
        <is>
          <t>Max Token Amount (cap on token_amount scope key)</t>
        </is>
      </c>
      <c r="B19" s="16" t="n">
        <v>10</v>
      </c>
      <c r="D19" s="14" t="inlineStr">
        <is>
          <t>Source: domain.py:ConstraintConfig.max_token_amount</t>
        </is>
      </c>
    </row>
    <row r="20">
      <c r="A20" s="21" t="inlineStr">
        <is>
          <t>Max Scope Items (max keys approved)</t>
        </is>
      </c>
      <c r="B20" s="16" t="n">
        <v>5</v>
      </c>
      <c r="D20" s="14" t="inlineStr">
        <is>
          <t>Source: domain.py:ConstraintConfig.max_scope_items</t>
        </is>
      </c>
    </row>
    <row r="21">
      <c r="A21" s="21" t="inlineStr">
        <is>
          <t>Require Explicit Irreversible Approval (TRUE/FALSE)</t>
        </is>
      </c>
      <c r="B21" s="16" t="inlineStr">
        <is>
          <t>TRUE</t>
        </is>
      </c>
      <c r="D21" s="14" t="inlineStr">
        <is>
          <t>Source: domain.py:ConstraintConfig.require_explicit_irreversible_approval</t>
        </is>
      </c>
    </row>
    <row r="23" ht="16" customHeight="1">
      <c r="A23" s="4" t="inlineStr">
        <is>
          <t>D. Blocked Scope Keys  (Safety/Security — Hard Gate)</t>
        </is>
      </c>
      <c r="B23" s="5" t="n"/>
      <c r="C23" s="5" t="n"/>
      <c r="D23" s="6" t="n"/>
    </row>
    <row r="24" ht="18" customHeight="1">
      <c r="A24" s="7" t="inlineStr">
        <is>
          <t>Scope Key</t>
        </is>
      </c>
      <c r="B24" s="7" t="inlineStr">
        <is>
          <t>Reason for Block</t>
        </is>
      </c>
      <c r="C24" s="7" t="inlineStr"/>
      <c r="D24" s="7" t="inlineStr"/>
    </row>
    <row r="25">
      <c r="A25" s="16" t="inlineStr">
        <is>
          <t>admin_override</t>
        </is>
      </c>
      <c r="B25" s="12" t="inlineStr">
        <is>
          <t>Bypasses policy — never approvable</t>
        </is>
      </c>
    </row>
    <row r="26">
      <c r="A26" s="16" t="inlineStr">
        <is>
          <t>raw_db_write</t>
        </is>
      </c>
      <c r="B26" s="12" t="inlineStr">
        <is>
          <t>Direct database mutation; unsafe</t>
        </is>
      </c>
    </row>
    <row r="27">
      <c r="A27" s="16" t="inlineStr">
        <is>
          <t>delete_reward</t>
        </is>
      </c>
      <c r="B27" s="12" t="inlineStr">
        <is>
          <t>Irreversible data destruction</t>
        </is>
      </c>
    </row>
    <row r="28">
      <c r="A28" s="16" t="inlineStr">
        <is>
          <t>bypass_constraints</t>
        </is>
      </c>
      <c r="B28" s="12" t="inlineStr">
        <is>
          <t>Self-referential safety bypass</t>
        </is>
      </c>
    </row>
    <row r="29">
      <c r="A29" s="16" t="inlineStr">
        <is>
          <t>payment_redirect</t>
        </is>
      </c>
      <c r="B29" s="12" t="inlineStr">
        <is>
          <t>Financial fraud vector</t>
        </is>
      </c>
    </row>
    <row r="30">
      <c r="A30" s="16" t="inlineStr"/>
      <c r="B30" s="22" t="inlineStr">
        <is>
          <t>(add custom blocked key here)</t>
        </is>
      </c>
    </row>
    <row r="31">
      <c r="A31" s="16" t="inlineStr"/>
      <c r="B31" s="22" t="inlineStr">
        <is>
          <t>(add custom blocked key here)</t>
        </is>
      </c>
    </row>
    <row r="32">
      <c r="A32" s="16" t="inlineStr"/>
      <c r="B32" s="22" t="inlineStr">
        <is>
          <t>(add custom blocked key here)</t>
        </is>
      </c>
    </row>
    <row r="34" ht="16" customHeight="1">
      <c r="A34" s="4" t="inlineStr">
        <is>
          <t>E. Irreversible Scope Keys  (Ethics/Irreversibility Layer)</t>
        </is>
      </c>
      <c r="B34" s="5" t="n"/>
      <c r="C34" s="5" t="n"/>
      <c r="D34" s="6" t="n"/>
    </row>
    <row r="35" ht="18" customHeight="1">
      <c r="A35" s="7" t="inlineStr">
        <is>
          <t>Scope Key</t>
        </is>
      </c>
      <c r="B35" s="7" t="inlineStr">
        <is>
          <t>Reason</t>
        </is>
      </c>
      <c r="C35" s="7" t="inlineStr"/>
      <c r="D35" s="7" t="inlineStr"/>
    </row>
    <row r="36">
      <c r="A36" s="16" t="inlineStr">
        <is>
          <t>finalize_contract</t>
        </is>
      </c>
      <c r="B36" s="12" t="inlineStr">
        <is>
          <t>Contract closure cannot be undone</t>
        </is>
      </c>
    </row>
    <row r="37">
      <c r="A37" s="16" t="inlineStr">
        <is>
          <t>archive_student</t>
        </is>
      </c>
      <c r="B37" s="12" t="inlineStr">
        <is>
          <t>Student record archival is permanent</t>
        </is>
      </c>
    </row>
    <row r="38">
      <c r="A38" s="16" t="inlineStr">
        <is>
          <t>issue_final_token</t>
        </is>
      </c>
      <c r="B38" s="12" t="inlineStr">
        <is>
          <t>Token issuance is immutable</t>
        </is>
      </c>
    </row>
    <row r="39">
      <c r="A39" s="16" t="inlineStr">
        <is>
          <t>submit_stripe_charge</t>
        </is>
      </c>
      <c r="B39" s="12" t="inlineStr">
        <is>
          <t>Payment charges non-reversible automatically</t>
        </is>
      </c>
    </row>
    <row r="40">
      <c r="A40" s="16" t="inlineStr"/>
      <c r="B40" s="22" t="inlineStr">
        <is>
          <t>(add custom irreversible key here)</t>
        </is>
      </c>
    </row>
    <row r="41">
      <c r="A41" s="16" t="inlineStr"/>
      <c r="B41" s="22" t="inlineStr">
        <is>
          <t>(add custom irreversible key here)</t>
        </is>
      </c>
    </row>
    <row r="42">
      <c r="A42" s="16" t="inlineStr"/>
      <c r="B42" s="22" t="inlineStr">
        <is>
          <t>(add custom irreversible key here)</t>
        </is>
      </c>
    </row>
  </sheetData>
  <mergeCells count="5">
    <mergeCell ref="A1:D1"/>
    <mergeCell ref="A17:D17"/>
    <mergeCell ref="A23:D23"/>
    <mergeCell ref="A34:D34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8" customWidth="1" min="3" max="3"/>
    <col width="50" customWidth="1" min="4" max="4"/>
  </cols>
  <sheetData>
    <row r="1" ht="16" customHeight="1">
      <c r="A1" s="4" t="inlineStr">
        <is>
          <t>Single-Token Rarity Score Calculator</t>
        </is>
      </c>
      <c r="B1" s="5" t="n"/>
      <c r="C1" s="5" t="n"/>
      <c r="D1" s="6" t="n"/>
    </row>
    <row r="2">
      <c r="A2" s="23" t="inlineStr">
        <is>
          <t>Enter inputs below (yellow cells). Scores are computed by formulas referencing Assumptions!</t>
        </is>
      </c>
    </row>
    <row r="4" ht="16" customHeight="1">
      <c r="A4" s="4" t="inlineStr">
        <is>
          <t>Inputs</t>
        </is>
      </c>
      <c r="B4" s="5" t="n"/>
      <c r="C4" s="5" t="n"/>
      <c r="D4" s="6" t="n"/>
    </row>
    <row r="5" ht="18" customHeight="1">
      <c r="A5" s="7" t="inlineStr">
        <is>
          <t>Field</t>
        </is>
      </c>
      <c r="B5" s="7" t="inlineStr">
        <is>
          <t>Value</t>
        </is>
      </c>
      <c r="C5" s="7" t="inlineStr">
        <is>
          <t>Allowed Range</t>
        </is>
      </c>
      <c r="D5" s="7" t="inlineStr">
        <is>
          <t>Notes</t>
        </is>
      </c>
    </row>
    <row r="6" ht="16" customHeight="1">
      <c r="A6" s="21" t="inlineStr">
        <is>
          <t>insight_tier</t>
        </is>
      </c>
      <c r="B6" s="16" t="inlineStr">
        <is>
          <t>causal</t>
        </is>
      </c>
      <c r="C6" s="2" t="inlineStr">
        <is>
          <t>surface / pattern / structural / causal / theoretical</t>
        </is>
      </c>
      <c r="D6" s="24" t="inlineStr">
        <is>
          <t>Choose from tier list: surface / pattern / structural / causal / theoretical</t>
        </is>
      </c>
    </row>
    <row r="7" ht="16" customHeight="1">
      <c r="A7" s="21" t="inlineStr">
        <is>
          <t>base_bank_depth</t>
        </is>
      </c>
      <c r="B7" s="16" t="n">
        <v>75</v>
      </c>
      <c r="C7" s="2" t="inlineStr">
        <is>
          <t>0 – 100 (int)</t>
        </is>
      </c>
      <c r="D7" s="24" t="inlineStr">
        <is>
          <t>Knowledge-base depth score (informational — not used in rarity formula)</t>
        </is>
      </c>
    </row>
    <row r="8" ht="16" customHeight="1">
      <c r="A8" s="21" t="inlineStr">
        <is>
          <t>inferential_richness</t>
        </is>
      </c>
      <c r="B8" s="16" t="n">
        <v>0.82</v>
      </c>
      <c r="C8" s="2" t="inlineStr">
        <is>
          <t>0.00 – 1.00</t>
        </is>
      </c>
      <c r="D8" s="24" t="inlineStr">
        <is>
          <t>Depth of reasoning chain (0 = shallow, 1 = maximal depth)</t>
        </is>
      </c>
    </row>
    <row r="9" ht="16" customHeight="1">
      <c r="A9" s="21" t="inlineStr">
        <is>
          <t>trend_position</t>
        </is>
      </c>
      <c r="B9" s="16" t="n">
        <v>0.35</v>
      </c>
      <c r="C9" s="2" t="inlineStr">
        <is>
          <t>0.00 – 1.00</t>
        </is>
      </c>
      <c r="D9" s="24" t="inlineStr">
        <is>
          <t>0 = emerging edge (rare), 1 = well-established (common)</t>
        </is>
      </c>
    </row>
    <row r="10" ht="16" customHeight="1">
      <c r="A10" s="21" t="inlineStr">
        <is>
          <t>issuance_trigger</t>
        </is>
      </c>
      <c r="B10" s="16" t="inlineStr">
        <is>
          <t>causal_chain_identified</t>
        </is>
      </c>
      <c r="C10" s="2" t="inlineStr">
        <is>
          <t>free text</t>
        </is>
      </c>
      <c r="D10" s="24" t="inlineStr">
        <is>
          <t>Cognitive event that triggered this issuance</t>
        </is>
      </c>
    </row>
    <row r="13" ht="16" customHeight="1">
      <c r="A13" s="4" t="inlineStr">
        <is>
          <t>Computed Outputs</t>
        </is>
      </c>
      <c r="B13" s="5" t="n"/>
      <c r="C13" s="5" t="n"/>
      <c r="D13" s="6" t="n"/>
    </row>
    <row r="14" ht="18" customHeight="1">
      <c r="A14" s="7" t="inlineStr">
        <is>
          <t>Output</t>
        </is>
      </c>
      <c r="B14" s="7" t="inlineStr">
        <is>
          <t>Value</t>
        </is>
      </c>
      <c r="C14" s="7" t="inlineStr">
        <is>
          <t>Formula</t>
        </is>
      </c>
      <c r="D14" s="7" t="inlineStr">
        <is>
          <t>Notes</t>
        </is>
      </c>
    </row>
    <row r="15" ht="18" customHeight="1">
      <c r="A15" s="21" t="inlineStr">
        <is>
          <t>tier_rarity_weight</t>
        </is>
      </c>
      <c r="B15" s="25">
        <f>IFERROR(VLOOKUP(B6,Assumptions!$A$10:$B$14,2,FALSE),"N/A")</f>
        <v/>
      </c>
      <c r="C15" s="23">
        <f>VLOOKUP(B6, Assumptions!A10:B14, 2, FALSE)</f>
        <v/>
      </c>
      <c r="D15" s="24" t="inlineStr">
        <is>
          <t>Tier-specific weight from Assumptions table</t>
        </is>
      </c>
    </row>
    <row r="16" ht="18" customHeight="1">
      <c r="A16" s="21" t="inlineStr">
        <is>
          <t>tier_amount</t>
        </is>
      </c>
      <c r="B16" s="26">
        <f>IFERROR(VLOOKUP(B6,Assumptions!$A$10:$C$14,3,FALSE),"N/A")</f>
        <v/>
      </c>
      <c r="C16" s="23">
        <f>VLOOKUP(B6, Assumptions!A10:C14, 3, FALSE)</f>
        <v/>
      </c>
      <c r="D16" s="24" t="inlineStr">
        <is>
          <t>Backward-compatible integer amount for this tier</t>
        </is>
      </c>
    </row>
    <row r="17" ht="18" customHeight="1">
      <c r="A17" s="21" t="inlineStr">
        <is>
          <t>emergence_component</t>
        </is>
      </c>
      <c r="B17" s="25">
        <f>IFERROR(Assumptions!$B$3*(1-B9),"N/A")</f>
        <v/>
      </c>
      <c r="C17" s="23">
        <f>w_emergence × (1 − trend_position)</f>
        <v/>
      </c>
      <c r="D17" s="24" t="inlineStr">
        <is>
          <t>40% weight on how far from well-established edge</t>
        </is>
      </c>
    </row>
    <row r="18" ht="18" customHeight="1">
      <c r="A18" s="21" t="inlineStr">
        <is>
          <t>inferential_component</t>
        </is>
      </c>
      <c r="B18" s="25">
        <f>IFERROR(Assumptions!$B$4*B8,"N/A")</f>
        <v/>
      </c>
      <c r="C18" s="23">
        <f>w_inferential × inferential_richness</f>
        <v/>
      </c>
      <c r="D18" s="24" t="inlineStr">
        <is>
          <t>40% weight on depth of reasoning chain</t>
        </is>
      </c>
    </row>
    <row r="19" ht="18" customHeight="1">
      <c r="A19" s="21" t="inlineStr">
        <is>
          <t>tier_component</t>
        </is>
      </c>
      <c r="B19" s="25">
        <f>IFERROR(Assumptions!$B$5*VLOOKUP(B6,Assumptions!$A$10:$B$14,2,FALSE),"N/A")</f>
        <v/>
      </c>
      <c r="C19" s="23">
        <f>w_tier × tier_rarity_weight</f>
        <v/>
      </c>
      <c r="D19" s="24" t="inlineStr">
        <is>
          <t>20% weight on epistemic tier</t>
        </is>
      </c>
    </row>
    <row r="20" ht="18" customHeight="1">
      <c r="A20" s="11" t="inlineStr">
        <is>
          <t>rarity_score  (0.00 – 1.00)</t>
        </is>
      </c>
      <c r="B20" s="27">
        <f>IFERROR(MAX(0,MIN(1,B17+B18+B19)),"N/A")</f>
        <v/>
      </c>
      <c r="C20" s="23">
        <f>MAX(0, MIN(1, emergence + inferential + tier))</f>
        <v/>
      </c>
      <c r="D20" s="24" t="inlineStr">
        <is>
          <t>Final rarity score stamped at issuance — NEVER recompute after issue</t>
        </is>
      </c>
    </row>
    <row r="23" ht="16" customHeight="1">
      <c r="A23" s="4" t="inlineStr">
        <is>
          <t>Rarity Score Interpretation Guide</t>
        </is>
      </c>
      <c r="B23" s="5" t="n"/>
      <c r="C23" s="5" t="n"/>
      <c r="D23" s="6" t="n"/>
    </row>
    <row r="24" ht="18" customHeight="1">
      <c r="A24" s="7" t="inlineStr">
        <is>
          <t>Score Range</t>
        </is>
      </c>
      <c r="B24" s="7" t="inlineStr">
        <is>
          <t>Classification</t>
        </is>
      </c>
      <c r="C24" s="7" t="inlineStr">
        <is>
          <t>Meaning</t>
        </is>
      </c>
      <c r="D24" s="7" t="inlineStr">
        <is>
          <t>Typical Tier</t>
        </is>
      </c>
    </row>
    <row r="25">
      <c r="A25" s="18" t="inlineStr">
        <is>
          <t>0.00 – 0.25</t>
        </is>
      </c>
      <c r="B25" s="18" t="inlineStr">
        <is>
          <t>Common</t>
        </is>
      </c>
      <c r="C25" s="18" t="inlineStr">
        <is>
          <t>Well-established knowledge, shallow reasoning</t>
        </is>
      </c>
      <c r="D25" s="18" t="inlineStr">
        <is>
          <t>surface / pattern</t>
        </is>
      </c>
    </row>
    <row r="26">
      <c r="A26" s="12" t="inlineStr">
        <is>
          <t>0.25 – 0.50</t>
        </is>
      </c>
      <c r="B26" s="12" t="inlineStr">
        <is>
          <t>Uncommon</t>
        </is>
      </c>
      <c r="C26" s="12" t="inlineStr">
        <is>
          <t>Moderate depth, some emerging edge</t>
        </is>
      </c>
      <c r="D26" s="12" t="inlineStr">
        <is>
          <t>pattern / structural</t>
        </is>
      </c>
    </row>
    <row r="27">
      <c r="A27" s="18" t="inlineStr">
        <is>
          <t>0.50 – 0.75</t>
        </is>
      </c>
      <c r="B27" s="18" t="inlineStr">
        <is>
          <t>Rare</t>
        </is>
      </c>
      <c r="C27" s="18" t="inlineStr">
        <is>
          <t>High inferential depth, emerging domain</t>
        </is>
      </c>
      <c r="D27" s="18" t="inlineStr">
        <is>
          <t>structural / causal</t>
        </is>
      </c>
    </row>
    <row r="28">
      <c r="A28" s="12" t="inlineStr">
        <is>
          <t>0.75 – 1.00</t>
        </is>
      </c>
      <c r="B28" s="12" t="inlineStr">
        <is>
          <t>Very Rare</t>
        </is>
      </c>
      <c r="C28" s="12" t="inlineStr">
        <is>
          <t>Theoretical synthesis at knowledge frontier</t>
        </is>
      </c>
      <c r="D28" s="12" t="inlineStr">
        <is>
          <t>causal / theoretical</t>
        </is>
      </c>
    </row>
  </sheetData>
  <mergeCells count="5">
    <mergeCell ref="A1:D1"/>
    <mergeCell ref="A23:D23"/>
    <mergeCell ref="A4:D4"/>
    <mergeCell ref="A2:D2"/>
    <mergeCell ref="A13:D13"/>
  </mergeCells>
  <dataValidations count="1">
    <dataValidation sqref="B6" showDropDown="0" showInputMessage="0" showErrorMessage="0" allowBlank="0" type="list">
      <formula1>"surface,pattern,structural,causal,theoretical"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5" customWidth="1" min="3" max="3"/>
    <col width="15" customWidth="1" min="4" max="4"/>
    <col width="42" customWidth="1" min="5" max="5"/>
    <col width="40" customWidth="1" min="6" max="6"/>
  </cols>
  <sheetData>
    <row r="1" ht="16" customHeight="1">
      <c r="A1" s="4" t="inlineStr">
        <is>
          <t>Insight Tier Reference  (domain.py: InsightTier, lines 48–78)</t>
        </is>
      </c>
      <c r="B1" s="5" t="n"/>
      <c r="C1" s="5" t="n"/>
      <c r="D1" s="5" t="n"/>
      <c r="E1" s="5" t="n"/>
      <c r="F1" s="6" t="n"/>
    </row>
    <row r="2" ht="18" customHeight="1">
      <c r="A2" s="7" t="inlineStr">
        <is>
          <t>Tier Key</t>
        </is>
      </c>
      <c r="B2" s="7" t="inlineStr">
        <is>
          <t>Order</t>
        </is>
      </c>
      <c r="C2" s="7" t="inlineStr">
        <is>
          <t>Amount (int)</t>
        </is>
      </c>
      <c r="D2" s="7" t="inlineStr">
        <is>
          <t>Rarity Weight</t>
        </is>
      </c>
      <c r="E2" s="7" t="inlineStr">
        <is>
          <t>Description</t>
        </is>
      </c>
      <c r="F2" s="7" t="inlineStr">
        <is>
          <t>Cognitive Demand</t>
        </is>
      </c>
    </row>
    <row r="3" ht="22" customHeight="1">
      <c r="A3" s="28">
        <f>Assumptions!A10</f>
        <v/>
      </c>
      <c r="B3" s="29">
        <f>Assumptions!E10</f>
        <v/>
      </c>
      <c r="C3" s="29">
        <f>Assumptions!C10</f>
        <v/>
      </c>
      <c r="D3" s="30">
        <f>Assumptions!B10</f>
        <v/>
      </c>
      <c r="E3" s="31" t="inlineStr">
        <is>
          <t>Fact recall, basic recognition</t>
        </is>
      </c>
      <c r="F3" s="32" t="inlineStr">
        <is>
          <t>Low — retrieval and identification</t>
        </is>
      </c>
    </row>
    <row r="4" ht="22" customHeight="1">
      <c r="A4" s="33">
        <f>Assumptions!A11</f>
        <v/>
      </c>
      <c r="B4" s="34">
        <f>Assumptions!E11</f>
        <v/>
      </c>
      <c r="C4" s="34">
        <f>Assumptions!C11</f>
        <v/>
      </c>
      <c r="D4" s="35">
        <f>Assumptions!B11</f>
        <v/>
      </c>
      <c r="E4" s="36" t="inlineStr">
        <is>
          <t>Cross-domain pattern recognition</t>
        </is>
      </c>
      <c r="F4" s="37" t="inlineStr">
        <is>
          <t>Moderate — synthesis across contexts</t>
        </is>
      </c>
    </row>
    <row r="5" ht="22" customHeight="1">
      <c r="A5" s="38">
        <f>Assumptions!A12</f>
        <v/>
      </c>
      <c r="B5" s="39">
        <f>Assumptions!E12</f>
        <v/>
      </c>
      <c r="C5" s="39">
        <f>Assumptions!C12</f>
        <v/>
      </c>
      <c r="D5" s="40">
        <f>Assumptions!B12</f>
        <v/>
      </c>
      <c r="E5" s="41" t="inlineStr">
        <is>
          <t>Structural understanding, system maps</t>
        </is>
      </c>
      <c r="F5" s="42" t="inlineStr">
        <is>
          <t>High — system-level comprehension</t>
        </is>
      </c>
    </row>
    <row r="6" ht="22" customHeight="1">
      <c r="A6" s="43">
        <f>Assumptions!A13</f>
        <v/>
      </c>
      <c r="B6" s="44">
        <f>Assumptions!E13</f>
        <v/>
      </c>
      <c r="C6" s="44">
        <f>Assumptions!C13</f>
        <v/>
      </c>
      <c r="D6" s="45">
        <f>Assumptions!B13</f>
        <v/>
      </c>
      <c r="E6" s="46" t="inlineStr">
        <is>
          <t>Causal chain modelling, root cause analysis</t>
        </is>
      </c>
      <c r="F6" s="47" t="inlineStr">
        <is>
          <t>Very High — causal inference &amp; modelling</t>
        </is>
      </c>
    </row>
    <row r="7" ht="22" customHeight="1">
      <c r="A7" s="48">
        <f>Assumptions!A14</f>
        <v/>
      </c>
      <c r="B7" s="49">
        <f>Assumptions!E14</f>
        <v/>
      </c>
      <c r="C7" s="49">
        <f>Assumptions!C14</f>
        <v/>
      </c>
      <c r="D7" s="50">
        <f>Assumptions!B14</f>
        <v/>
      </c>
      <c r="E7" s="51" t="inlineStr">
        <is>
          <t>Novel synthesis, theory building at frontier</t>
        </is>
      </c>
      <c r="F7" s="52" t="inlineStr">
        <is>
          <t>Maximal — new theory generation</t>
        </is>
      </c>
    </row>
    <row r="10" ht="8" customHeight="1"/>
    <row r="11" ht="16" customHeight="1">
      <c r="A11" s="4" t="inlineStr">
        <is>
          <t>Rarity Formula  (domain.py:compute_rarity_score)</t>
        </is>
      </c>
      <c r="B11" s="5" t="n"/>
      <c r="C11" s="5" t="n"/>
      <c r="D11" s="5" t="n"/>
      <c r="E11" s="5" t="n"/>
      <c r="F11" s="6" t="n"/>
    </row>
    <row r="12" ht="60" customHeight="1">
      <c r="A12" s="3" t="inlineStr">
        <is>
          <t>rarity_score = w_emergence × (1 − trend_position)  +  w_inferential × inferential_richness  +  w_tier × tier_rarity_weight
   where  w_emergence=0.4,  w_inferential=0.4,  w_tier=0.2  (see Assumptions!B3:B5)
Result clamped to [0.0, 1.0] and rounded to 4 decimal places.</t>
        </is>
      </c>
    </row>
    <row r="13"/>
    <row r="14"/>
  </sheetData>
  <mergeCells count="3">
    <mergeCell ref="A11:F11"/>
    <mergeCell ref="A1:F1"/>
    <mergeCell ref="A12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30" customWidth="1" min="4" max="4"/>
    <col width="30" customWidth="1" min="5" max="5"/>
  </cols>
  <sheetData>
    <row r="1" ht="16" customHeight="1">
      <c r="A1" s="4" t="inlineStr">
        <is>
          <t>Reward State Machine  (domain.py: RewardState, lines 14–22)</t>
        </is>
      </c>
      <c r="B1" s="5" t="n"/>
      <c r="C1" s="5" t="n"/>
      <c r="D1" s="5" t="n"/>
      <c r="E1" s="5" t="n"/>
      <c r="F1" s="5" t="n"/>
      <c r="G1" s="6" t="n"/>
    </row>
    <row r="3" ht="16" customHeight="1">
      <c r="A3" s="4" t="inlineStr">
        <is>
          <t>A. State Definitions</t>
        </is>
      </c>
      <c r="B3" s="5" t="n"/>
      <c r="C3" s="6" t="n"/>
    </row>
    <row r="4" ht="18" customHeight="1">
      <c r="A4" s="7" t="inlineStr">
        <is>
          <t>State</t>
        </is>
      </c>
      <c r="B4" s="7" t="inlineStr">
        <is>
          <t>Outcome State</t>
        </is>
      </c>
      <c r="C4" s="7" t="inlineStr">
        <is>
          <t>Meaning</t>
        </is>
      </c>
    </row>
    <row r="5" ht="20" customHeight="1">
      <c r="A5" s="53" t="inlineStr">
        <is>
          <t>drafted</t>
        </is>
      </c>
      <c r="B5" s="18" t="inlineStr">
        <is>
          <t>unknown</t>
        </is>
      </c>
      <c r="C5" s="54" t="inlineStr">
        <is>
          <t>Reward created; awaiting contract satisfaction</t>
        </is>
      </c>
    </row>
    <row r="6" ht="20" customHeight="1">
      <c r="A6" s="55" t="inlineStr">
        <is>
          <t>earned</t>
        </is>
      </c>
      <c r="B6" s="56" t="inlineStr">
        <is>
          <t>unknown</t>
        </is>
      </c>
      <c r="C6" s="32" t="inlineStr">
        <is>
          <t>Contract satisfied; awaiting payment instruction</t>
        </is>
      </c>
    </row>
    <row r="7" ht="20" customHeight="1">
      <c r="A7" s="57" t="inlineStr">
        <is>
          <t>payment_pending</t>
        </is>
      </c>
      <c r="B7" s="58" t="inlineStr">
        <is>
          <t>unknown</t>
        </is>
      </c>
      <c r="C7" s="42" t="inlineStr">
        <is>
          <t>Ready for payment; Stripe charge not yet confirmed</t>
        </is>
      </c>
    </row>
    <row r="8" ht="20" customHeight="1">
      <c r="A8" s="59" t="inlineStr">
        <is>
          <t>payment_confirmed</t>
        </is>
      </c>
      <c r="B8" s="60" t="inlineStr">
        <is>
          <t>delivered_pending_ack</t>
        </is>
      </c>
      <c r="C8" s="61" t="inlineStr">
        <is>
          <t>Stripe confirmed; awaiting student acknowledgement</t>
        </is>
      </c>
    </row>
    <row r="9" ht="20" customHeight="1">
      <c r="A9" s="62" t="inlineStr">
        <is>
          <t>student_acknowledged</t>
        </is>
      </c>
      <c r="B9" s="63" t="inlineStr">
        <is>
          <t>acknowledged</t>
        </is>
      </c>
      <c r="C9" s="64" t="inlineStr">
        <is>
          <t>Student acknowledged receipt — terminal success state</t>
        </is>
      </c>
    </row>
    <row r="10" ht="20" customHeight="1">
      <c r="A10" s="65" t="inlineStr">
        <is>
          <t>review_requested</t>
        </is>
      </c>
      <c r="B10" s="66" t="inlineStr">
        <is>
          <t>review_open</t>
        </is>
      </c>
      <c r="C10" s="47" t="inlineStr">
        <is>
          <t>Review flag raised from any state — lateral transition</t>
        </is>
      </c>
    </row>
    <row r="13" ht="16" customHeight="1">
      <c r="A13" s="4" t="inlineStr">
        <is>
          <t>B. Valid Transition Matrix</t>
        </is>
      </c>
      <c r="B13" s="5" t="n"/>
      <c r="C13" s="5" t="n"/>
      <c r="D13" s="5" t="n"/>
      <c r="E13" s="5" t="n"/>
      <c r="F13" s="5" t="n"/>
      <c r="G13" s="5" t="n"/>
      <c r="H13" s="6" t="n"/>
    </row>
    <row r="14" ht="18" customHeight="1">
      <c r="A14" s="7" t="inlineStr">
        <is>
          <t>From State</t>
        </is>
      </c>
      <c r="B14" s="7" t="inlineStr">
        <is>
          <t>→ To State</t>
        </is>
      </c>
      <c r="C14" s="7" t="inlineStr">
        <is>
          <t>Trigger</t>
        </is>
      </c>
      <c r="D14" s="7" t="inlineStr">
        <is>
          <t>Policy Flag</t>
        </is>
      </c>
      <c r="E14" s="7" t="inlineStr">
        <is>
          <t>Notes</t>
        </is>
      </c>
    </row>
    <row r="15">
      <c r="A15" s="67" t="inlineStr">
        <is>
          <t>drafted</t>
        </is>
      </c>
      <c r="B15" s="67" t="inlineStr">
        <is>
          <t>earned</t>
        </is>
      </c>
      <c r="C15" s="67" t="inlineStr">
        <is>
          <t>glass_session_event</t>
        </is>
      </c>
      <c r="D15" s="67" t="inlineStr">
        <is>
          <t>contract_satisfied=true</t>
        </is>
      </c>
      <c r="E15" s="67" t="inlineStr">
        <is>
          <t>domain.py:380-384</t>
        </is>
      </c>
    </row>
    <row r="16">
      <c r="A16" s="68" t="inlineStr">
        <is>
          <t>earned</t>
        </is>
      </c>
      <c r="B16" s="68" t="inlineStr">
        <is>
          <t>payment_pending</t>
        </is>
      </c>
      <c r="C16" s="68" t="inlineStr">
        <is>
          <t>glass_session_event</t>
        </is>
      </c>
      <c r="D16" s="68" t="inlineStr">
        <is>
          <t>ready_for_payment=true</t>
        </is>
      </c>
      <c r="E16" s="68" t="inlineStr">
        <is>
          <t>domain.py:386-389</t>
        </is>
      </c>
    </row>
    <row r="17">
      <c r="A17" s="67" t="inlineStr">
        <is>
          <t>earned</t>
        </is>
      </c>
      <c r="B17" s="67" t="inlineStr">
        <is>
          <t>payment_confirmed</t>
        </is>
      </c>
      <c r="C17" s="67" t="inlineStr">
        <is>
          <t>stripe_payment_success</t>
        </is>
      </c>
      <c r="D17" s="67" t="inlineStr">
        <is>
          <t>student_id matches</t>
        </is>
      </c>
      <c r="E17" s="67" t="inlineStr">
        <is>
          <t>domain.py:407-440</t>
        </is>
      </c>
    </row>
    <row r="18">
      <c r="A18" s="68" t="inlineStr">
        <is>
          <t>payment_pending</t>
        </is>
      </c>
      <c r="B18" s="68" t="inlineStr">
        <is>
          <t>payment_confirmed</t>
        </is>
      </c>
      <c r="C18" s="68" t="inlineStr">
        <is>
          <t>stripe_payment_success</t>
        </is>
      </c>
      <c r="D18" s="68" t="inlineStr">
        <is>
          <t>student_id matches</t>
        </is>
      </c>
      <c r="E18" s="68" t="inlineStr">
        <is>
          <t>domain.py:407-440</t>
        </is>
      </c>
    </row>
    <row r="19">
      <c r="A19" s="67" t="inlineStr">
        <is>
          <t>payment_confirmed</t>
        </is>
      </c>
      <c r="B19" s="67" t="inlineStr">
        <is>
          <t>student_acknowledged</t>
        </is>
      </c>
      <c r="C19" s="67" t="inlineStr">
        <is>
          <t>student_confirmation</t>
        </is>
      </c>
      <c r="D19" s="67" t="inlineStr">
        <is>
          <t>student_ack=true</t>
        </is>
      </c>
      <c r="E19" s="67" t="inlineStr">
        <is>
          <t>domain.py:364-375</t>
        </is>
      </c>
    </row>
    <row r="20">
      <c r="A20" s="68" t="inlineStr">
        <is>
          <t>any</t>
        </is>
      </c>
      <c r="B20" s="68" t="inlineStr">
        <is>
          <t>review_requested</t>
        </is>
      </c>
      <c r="C20" s="68" t="inlineStr">
        <is>
          <t>any evidence</t>
        </is>
      </c>
      <c r="D20" s="68" t="inlineStr">
        <is>
          <t>request_review=true</t>
        </is>
      </c>
      <c r="E20" s="68" t="inlineStr">
        <is>
          <t>domain.py:357-362</t>
        </is>
      </c>
    </row>
    <row r="21">
      <c r="A21" s="67" t="inlineStr">
        <is>
          <t>payment_confirmed</t>
        </is>
      </c>
      <c r="B21" s="67" t="inlineStr">
        <is>
          <t>payment_confirmed</t>
        </is>
      </c>
      <c r="C21" s="67" t="inlineStr">
        <is>
          <t>stripe_payment_success</t>
        </is>
      </c>
      <c r="D21" s="67" t="inlineStr">
        <is>
          <t>replay — already confirmed</t>
        </is>
      </c>
      <c r="E21" s="67" t="inlineStr">
        <is>
          <t>domain.py:419-424</t>
        </is>
      </c>
    </row>
    <row r="22">
      <c r="A22" s="68" t="inlineStr">
        <is>
          <t>student_acknowledged</t>
        </is>
      </c>
      <c r="B22" s="68" t="inlineStr">
        <is>
          <t>student_acknowledged</t>
        </is>
      </c>
      <c r="C22" s="68" t="inlineStr">
        <is>
          <t>stripe_payment_success</t>
        </is>
      </c>
      <c r="D22" s="68" t="inlineStr">
        <is>
          <t>replay — already confirmed</t>
        </is>
      </c>
      <c r="E22" s="68" t="inlineStr">
        <is>
          <t>domain.py:419-424</t>
        </is>
      </c>
    </row>
    <row r="25" ht="16" customHeight="1">
      <c r="A25" s="4" t="inlineStr">
        <is>
          <t>C. Evidence Types  (domain.py:EvidenceType)</t>
        </is>
      </c>
      <c r="B25" s="5" t="n"/>
      <c r="C25" s="6" t="n"/>
    </row>
    <row r="26" ht="18" customHeight="1">
      <c r="A26" s="7" t="inlineStr">
        <is>
          <t>Evidence Type</t>
        </is>
      </c>
      <c r="B26" s="7" t="inlineStr">
        <is>
          <t>Triggers Transition?</t>
        </is>
      </c>
      <c r="C26" s="7" t="inlineStr">
        <is>
          <t>Notes</t>
        </is>
      </c>
    </row>
    <row r="27" ht="18" customHeight="1">
      <c r="A27" s="54" t="inlineStr">
        <is>
          <t>glass_session_event</t>
        </is>
      </c>
      <c r="B27" s="54" t="inlineStr">
        <is>
          <t>Only if policy flags set</t>
        </is>
      </c>
      <c r="C27" s="54" t="inlineStr">
        <is>
          <t>Most common; drives drafted→earned→payment_pending</t>
        </is>
      </c>
    </row>
    <row r="28" ht="18" customHeight="1">
      <c r="A28" s="24" t="inlineStr">
        <is>
          <t>failure_snapshot</t>
        </is>
      </c>
      <c r="B28" s="24" t="inlineStr">
        <is>
          <t>Notes failure; no state change</t>
        </is>
      </c>
      <c r="C28" s="24" t="inlineStr">
        <is>
          <t>Recorded in notes; domain.py:391-393</t>
        </is>
      </c>
    </row>
    <row r="29" ht="18" customHeight="1">
      <c r="A29" s="54" t="inlineStr">
        <is>
          <t>return_attempt</t>
        </is>
      </c>
      <c r="B29" s="54" t="inlineStr">
        <is>
          <t>No (returns None)</t>
        </is>
      </c>
      <c r="C29" s="54" t="inlineStr">
        <is>
          <t>Non-transition evidence type</t>
        </is>
      </c>
    </row>
    <row r="30" ht="18" customHeight="1">
      <c r="A30" s="24" t="inlineStr">
        <is>
          <t>success_after_support</t>
        </is>
      </c>
      <c r="B30" s="24" t="inlineStr">
        <is>
          <t>No (returns None)</t>
        </is>
      </c>
      <c r="C30" s="24" t="inlineStr">
        <is>
          <t>Non-transition evidence type</t>
        </is>
      </c>
    </row>
    <row r="31" ht="18" customHeight="1">
      <c r="A31" s="54" t="inlineStr">
        <is>
          <t>agent_interpretation</t>
        </is>
      </c>
      <c r="B31" s="54" t="inlineStr">
        <is>
          <t>No (returns None)</t>
        </is>
      </c>
      <c r="C31" s="54" t="inlineStr">
        <is>
          <t>Non-transition evidence type</t>
        </is>
      </c>
    </row>
    <row r="32" ht="18" customHeight="1">
      <c r="A32" s="24" t="inlineStr">
        <is>
          <t>student_confirmation</t>
        </is>
      </c>
      <c r="B32" s="24" t="inlineStr">
        <is>
          <t>Yes → student_acknowledged</t>
        </is>
      </c>
      <c r="C32" s="24" t="inlineStr">
        <is>
          <t>Requires current=payment_confirmed</t>
        </is>
      </c>
    </row>
  </sheetData>
  <mergeCells count="4">
    <mergeCell ref="A25:C25"/>
    <mergeCell ref="A13:H13"/>
    <mergeCell ref="A3:C3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4" customWidth="1" min="5" max="5"/>
    <col width="16" customWidth="1" min="6" max="6"/>
    <col width="14" customWidth="1" min="7" max="7"/>
    <col width="12" customWidth="1" min="8" max="8"/>
    <col width="28" customWidth="1" min="9" max="9"/>
  </cols>
  <sheetData>
    <row r="1" ht="16" customHeight="1">
      <c r="A1" s="4" t="inlineStr">
        <is>
          <t>Token Issuance Portfolio Log  (15 sample tokens)</t>
        </is>
      </c>
      <c r="B1" s="5" t="n"/>
      <c r="C1" s="5" t="n"/>
      <c r="D1" s="5" t="n"/>
      <c r="E1" s="5" t="n"/>
      <c r="F1" s="5" t="n"/>
      <c r="G1" s="5" t="n"/>
      <c r="H1" s="5" t="n"/>
      <c r="I1" s="6" t="n"/>
    </row>
    <row r="2" ht="18" customHeight="1">
      <c r="A2" s="23" t="inlineStr">
        <is>
          <t>Rarity Score and Amount columns are computed via formulas referencing Assumptions sheet. Blue-text columns are editable. Black-text columns are formula outputs.</t>
        </is>
      </c>
    </row>
    <row r="3" ht="32" customHeight="1">
      <c r="A3" s="7" t="inlineStr">
        <is>
          <t>Token ID</t>
        </is>
      </c>
      <c r="B3" s="7" t="inlineStr">
        <is>
          <t>Issued At</t>
        </is>
      </c>
      <c r="C3" s="7" t="inlineStr">
        <is>
          <t>Insight Tier</t>
        </is>
      </c>
      <c r="D3" s="7" t="inlineStr">
        <is>
          <t>Base Bank Depth
(0–100)</t>
        </is>
      </c>
      <c r="E3" s="7" t="inlineStr">
        <is>
          <t>Inferential
Richness (0-1)</t>
        </is>
      </c>
      <c r="F3" s="7" t="inlineStr">
        <is>
          <t>Trend Position
(0=emerging, 1=common)</t>
        </is>
      </c>
      <c r="G3" s="7" t="inlineStr">
        <is>
          <t>Rarity Score
(formula)</t>
        </is>
      </c>
      <c r="H3" s="7" t="inlineStr">
        <is>
          <t>Amount
(formula)</t>
        </is>
      </c>
      <c r="I3" s="7" t="inlineStr">
        <is>
          <t>Issuance Trigger</t>
        </is>
      </c>
    </row>
    <row r="4" ht="16" customHeight="1">
      <c r="A4" s="16" t="inlineStr">
        <is>
          <t>TKN-001</t>
        </is>
      </c>
      <c r="B4" s="16" t="inlineStr">
        <is>
          <t>2026-04-01T09:15:00Z</t>
        </is>
      </c>
      <c r="C4" s="16" t="inlineStr">
        <is>
          <t>theoretical</t>
        </is>
      </c>
      <c r="D4" s="69" t="n">
        <v>88</v>
      </c>
      <c r="E4" s="17" t="n">
        <v>0.91</v>
      </c>
      <c r="F4" s="17" t="n">
        <v>0.12</v>
      </c>
      <c r="G4" s="70">
        <f>IFERROR(MAX(0,MIN(1,Assumptions!$B$3*(1-F4)+Assumptions!$B$4*E4+Assumptions!$B$5*VLOOKUP(C4,Assumptions!$A$10:$B$14,2,FALSE))),"ERR")</f>
        <v/>
      </c>
      <c r="H4" s="71">
        <f>IFERROR(VLOOKUP(C4,Assumptions!$A$10:$C$14,3,FALSE),"ERR")</f>
        <v/>
      </c>
      <c r="I4" s="16" t="inlineStr">
        <is>
          <t>novel_synthesis_identified</t>
        </is>
      </c>
    </row>
    <row r="5" ht="16" customHeight="1">
      <c r="A5" s="16" t="inlineStr">
        <is>
          <t>TKN-002</t>
        </is>
      </c>
      <c r="B5" s="16" t="inlineStr">
        <is>
          <t>2026-04-03T14:22:00Z</t>
        </is>
      </c>
      <c r="C5" s="16" t="inlineStr">
        <is>
          <t>causal</t>
        </is>
      </c>
      <c r="D5" s="69" t="n">
        <v>76</v>
      </c>
      <c r="E5" s="17" t="n">
        <v>0.83</v>
      </c>
      <c r="F5" s="17" t="n">
        <v>0.28</v>
      </c>
      <c r="G5" s="72">
        <f>IFERROR(MAX(0,MIN(1,Assumptions!$B$3*(1-F5)+Assumptions!$B$4*E5+Assumptions!$B$5*VLOOKUP(C5,Assumptions!$A$10:$B$14,2,FALSE))),"ERR")</f>
        <v/>
      </c>
      <c r="H5" s="73">
        <f>IFERROR(VLOOKUP(C5,Assumptions!$A$10:$C$14,3,FALSE),"ERR")</f>
        <v/>
      </c>
      <c r="I5" s="16" t="inlineStr">
        <is>
          <t>causal_chain_identified</t>
        </is>
      </c>
    </row>
    <row r="6" ht="16" customHeight="1">
      <c r="A6" s="16" t="inlineStr">
        <is>
          <t>TKN-003</t>
        </is>
      </c>
      <c r="B6" s="16" t="inlineStr">
        <is>
          <t>2026-04-05T11:05:00Z</t>
        </is>
      </c>
      <c r="C6" s="16" t="inlineStr">
        <is>
          <t>structural</t>
        </is>
      </c>
      <c r="D6" s="69" t="n">
        <v>65</v>
      </c>
      <c r="E6" s="17" t="n">
        <v>0.72</v>
      </c>
      <c r="F6" s="17" t="n">
        <v>0.45</v>
      </c>
      <c r="G6" s="70">
        <f>IFERROR(MAX(0,MIN(1,Assumptions!$B$3*(1-F6)+Assumptions!$B$4*E6+Assumptions!$B$5*VLOOKUP(C6,Assumptions!$A$10:$B$14,2,FALSE))),"ERR")</f>
        <v/>
      </c>
      <c r="H6" s="71">
        <f>IFERROR(VLOOKUP(C6,Assumptions!$A$10:$C$14,3,FALSE),"ERR")</f>
        <v/>
      </c>
      <c r="I6" s="16" t="inlineStr">
        <is>
          <t>system_map_constructed</t>
        </is>
      </c>
    </row>
    <row r="7" ht="16" customHeight="1">
      <c r="A7" s="16" t="inlineStr">
        <is>
          <t>TKN-004</t>
        </is>
      </c>
      <c r="B7" s="16" t="inlineStr">
        <is>
          <t>2026-04-07T16:40:00Z</t>
        </is>
      </c>
      <c r="C7" s="16" t="inlineStr">
        <is>
          <t>pattern</t>
        </is>
      </c>
      <c r="D7" s="69" t="n">
        <v>55</v>
      </c>
      <c r="E7" s="17" t="n">
        <v>0.58</v>
      </c>
      <c r="F7" s="17" t="n">
        <v>0.62</v>
      </c>
      <c r="G7" s="72">
        <f>IFERROR(MAX(0,MIN(1,Assumptions!$B$3*(1-F7)+Assumptions!$B$4*E7+Assumptions!$B$5*VLOOKUP(C7,Assumptions!$A$10:$B$14,2,FALSE))),"ERR")</f>
        <v/>
      </c>
      <c r="H7" s="73">
        <f>IFERROR(VLOOKUP(C7,Assumptions!$A$10:$C$14,3,FALSE),"ERR")</f>
        <v/>
      </c>
      <c r="I7" s="16" t="inlineStr">
        <is>
          <t>cross_domain_link_found</t>
        </is>
      </c>
    </row>
    <row r="8" ht="16" customHeight="1">
      <c r="A8" s="16" t="inlineStr">
        <is>
          <t>TKN-005</t>
        </is>
      </c>
      <c r="B8" s="16" t="inlineStr">
        <is>
          <t>2026-04-10T08:30:00Z</t>
        </is>
      </c>
      <c r="C8" s="16" t="inlineStr">
        <is>
          <t>surface</t>
        </is>
      </c>
      <c r="D8" s="69" t="n">
        <v>42</v>
      </c>
      <c r="E8" s="17" t="n">
        <v>0.22</v>
      </c>
      <c r="F8" s="17" t="n">
        <v>0.88</v>
      </c>
      <c r="G8" s="70">
        <f>IFERROR(MAX(0,MIN(1,Assumptions!$B$3*(1-F8)+Assumptions!$B$4*E8+Assumptions!$B$5*VLOOKUP(C8,Assumptions!$A$10:$B$14,2,FALSE))),"ERR")</f>
        <v/>
      </c>
      <c r="H8" s="71">
        <f>IFERROR(VLOOKUP(C8,Assumptions!$A$10:$C$14,3,FALSE),"ERR")</f>
        <v/>
      </c>
      <c r="I8" s="16" t="inlineStr">
        <is>
          <t>fact_recalled_correctly</t>
        </is>
      </c>
    </row>
    <row r="9" ht="16" customHeight="1">
      <c r="A9" s="16" t="inlineStr">
        <is>
          <t>TKN-006</t>
        </is>
      </c>
      <c r="B9" s="16" t="inlineStr">
        <is>
          <t>2026-04-12T13:55:00Z</t>
        </is>
      </c>
      <c r="C9" s="16" t="inlineStr">
        <is>
          <t>theoretical</t>
        </is>
      </c>
      <c r="D9" s="69" t="n">
        <v>92</v>
      </c>
      <c r="E9" s="17" t="n">
        <v>0.95</v>
      </c>
      <c r="F9" s="17" t="n">
        <v>0.08</v>
      </c>
      <c r="G9" s="72">
        <f>IFERROR(MAX(0,MIN(1,Assumptions!$B$3*(1-F9)+Assumptions!$B$4*E9+Assumptions!$B$5*VLOOKUP(C9,Assumptions!$A$10:$B$14,2,FALSE))),"ERR")</f>
        <v/>
      </c>
      <c r="H9" s="73">
        <f>IFERROR(VLOOKUP(C9,Assumptions!$A$10:$C$14,3,FALSE),"ERR")</f>
        <v/>
      </c>
      <c r="I9" s="16" t="inlineStr">
        <is>
          <t>theory_extension_proposed</t>
        </is>
      </c>
    </row>
    <row r="10" ht="16" customHeight="1">
      <c r="A10" s="16" t="inlineStr">
        <is>
          <t>TKN-007</t>
        </is>
      </c>
      <c r="B10" s="16" t="inlineStr">
        <is>
          <t>2026-04-14T10:10:00Z</t>
        </is>
      </c>
      <c r="C10" s="16" t="inlineStr">
        <is>
          <t>causal</t>
        </is>
      </c>
      <c r="D10" s="69" t="n">
        <v>81</v>
      </c>
      <c r="E10" s="17" t="n">
        <v>0.78</v>
      </c>
      <c r="F10" s="17" t="n">
        <v>0.33</v>
      </c>
      <c r="G10" s="70">
        <f>IFERROR(MAX(0,MIN(1,Assumptions!$B$3*(1-F10)+Assumptions!$B$4*E10+Assumptions!$B$5*VLOOKUP(C10,Assumptions!$A$10:$B$14,2,FALSE))),"ERR")</f>
        <v/>
      </c>
      <c r="H10" s="71">
        <f>IFERROR(VLOOKUP(C10,Assumptions!$A$10:$C$14,3,FALSE),"ERR")</f>
        <v/>
      </c>
      <c r="I10" s="16" t="inlineStr">
        <is>
          <t>root_cause_identified</t>
        </is>
      </c>
    </row>
    <row r="11" ht="16" customHeight="1">
      <c r="A11" s="16" t="inlineStr">
        <is>
          <t>TKN-008</t>
        </is>
      </c>
      <c r="B11" s="16" t="inlineStr">
        <is>
          <t>2026-04-17T15:25:00Z</t>
        </is>
      </c>
      <c r="C11" s="16" t="inlineStr">
        <is>
          <t>structural</t>
        </is>
      </c>
      <c r="D11" s="69" t="n">
        <v>70</v>
      </c>
      <c r="E11" s="17" t="n">
        <v>0.68</v>
      </c>
      <c r="F11" s="17" t="n">
        <v>0.51</v>
      </c>
      <c r="G11" s="72">
        <f>IFERROR(MAX(0,MIN(1,Assumptions!$B$3*(1-F11)+Assumptions!$B$4*E11+Assumptions!$B$5*VLOOKUP(C11,Assumptions!$A$10:$B$14,2,FALSE))),"ERR")</f>
        <v/>
      </c>
      <c r="H11" s="73">
        <f>IFERROR(VLOOKUP(C11,Assumptions!$A$10:$C$14,3,FALSE),"ERR")</f>
        <v/>
      </c>
      <c r="I11" s="16" t="inlineStr">
        <is>
          <t>dependency_graph_completed</t>
        </is>
      </c>
    </row>
    <row r="12" ht="16" customHeight="1">
      <c r="A12" s="16" t="inlineStr">
        <is>
          <t>TKN-009</t>
        </is>
      </c>
      <c r="B12" s="16" t="inlineStr">
        <is>
          <t>2026-04-20T09:45:00Z</t>
        </is>
      </c>
      <c r="C12" s="16" t="inlineStr">
        <is>
          <t>causal</t>
        </is>
      </c>
      <c r="D12" s="69" t="n">
        <v>73</v>
      </c>
      <c r="E12" s="17" t="n">
        <v>0.85</v>
      </c>
      <c r="F12" s="17" t="n">
        <v>0.22</v>
      </c>
      <c r="G12" s="70">
        <f>IFERROR(MAX(0,MIN(1,Assumptions!$B$3*(1-F12)+Assumptions!$B$4*E12+Assumptions!$B$5*VLOOKUP(C12,Assumptions!$A$10:$B$14,2,FALSE))),"ERR")</f>
        <v/>
      </c>
      <c r="H12" s="71">
        <f>IFERROR(VLOOKUP(C12,Assumptions!$A$10:$C$14,3,FALSE),"ERR")</f>
        <v/>
      </c>
      <c r="I12" s="16" t="inlineStr">
        <is>
          <t>mechanism_traced_to_source</t>
        </is>
      </c>
    </row>
    <row r="13" ht="16" customHeight="1">
      <c r="A13" s="16" t="inlineStr">
        <is>
          <t>TKN-010</t>
        </is>
      </c>
      <c r="B13" s="16" t="inlineStr">
        <is>
          <t>2026-04-22T12:00:00Z</t>
        </is>
      </c>
      <c r="C13" s="16" t="inlineStr">
        <is>
          <t>pattern</t>
        </is>
      </c>
      <c r="D13" s="69" t="n">
        <v>60</v>
      </c>
      <c r="E13" s="17" t="n">
        <v>0.55</v>
      </c>
      <c r="F13" s="17" t="n">
        <v>0.7</v>
      </c>
      <c r="G13" s="72">
        <f>IFERROR(MAX(0,MIN(1,Assumptions!$B$3*(1-F13)+Assumptions!$B$4*E13+Assumptions!$B$5*VLOOKUP(C13,Assumptions!$A$10:$B$14,2,FALSE))),"ERR")</f>
        <v/>
      </c>
      <c r="H13" s="73">
        <f>IFERROR(VLOOKUP(C13,Assumptions!$A$10:$C$14,3,FALSE),"ERR")</f>
        <v/>
      </c>
      <c r="I13" s="16" t="inlineStr">
        <is>
          <t>recurring_pattern_named</t>
        </is>
      </c>
    </row>
    <row r="14" ht="16" customHeight="1">
      <c r="A14" s="16" t="inlineStr">
        <is>
          <t>TKN-011</t>
        </is>
      </c>
      <c r="B14" s="16" t="inlineStr">
        <is>
          <t>2026-04-25T14:35:00Z</t>
        </is>
      </c>
      <c r="C14" s="16" t="inlineStr">
        <is>
          <t>theoretical</t>
        </is>
      </c>
      <c r="D14" s="69" t="n">
        <v>95</v>
      </c>
      <c r="E14" s="17" t="n">
        <v>0.93</v>
      </c>
      <c r="F14" s="17" t="n">
        <v>0.05</v>
      </c>
      <c r="G14" s="70">
        <f>IFERROR(MAX(0,MIN(1,Assumptions!$B$3*(1-F14)+Assumptions!$B$4*E14+Assumptions!$B$5*VLOOKUP(C14,Assumptions!$A$10:$B$14,2,FALSE))),"ERR")</f>
        <v/>
      </c>
      <c r="H14" s="71">
        <f>IFERROR(VLOOKUP(C14,Assumptions!$A$10:$C$14,3,FALSE),"ERR")</f>
        <v/>
      </c>
      <c r="I14" s="16" t="inlineStr">
        <is>
          <t>conceptual_bridge_built</t>
        </is>
      </c>
    </row>
    <row r="15" ht="16" customHeight="1">
      <c r="A15" s="16" t="inlineStr">
        <is>
          <t>TKN-012</t>
        </is>
      </c>
      <c r="B15" s="16" t="inlineStr">
        <is>
          <t>2026-04-28T11:20:00Z</t>
        </is>
      </c>
      <c r="C15" s="16" t="inlineStr">
        <is>
          <t>structural</t>
        </is>
      </c>
      <c r="D15" s="69" t="n">
        <v>68</v>
      </c>
      <c r="E15" s="17" t="n">
        <v>0.65</v>
      </c>
      <c r="F15" s="17" t="n">
        <v>0.48</v>
      </c>
      <c r="G15" s="72">
        <f>IFERROR(MAX(0,MIN(1,Assumptions!$B$3*(1-F15)+Assumptions!$B$4*E15+Assumptions!$B$5*VLOOKUP(C15,Assumptions!$A$10:$B$14,2,FALSE))),"ERR")</f>
        <v/>
      </c>
      <c r="H15" s="73">
        <f>IFERROR(VLOOKUP(C15,Assumptions!$A$10:$C$14,3,FALSE),"ERR")</f>
        <v/>
      </c>
      <c r="I15" s="16" t="inlineStr">
        <is>
          <t>abstraction_layer_identified</t>
        </is>
      </c>
    </row>
    <row r="16" ht="16" customHeight="1">
      <c r="A16" s="16" t="inlineStr">
        <is>
          <t>TKN-013</t>
        </is>
      </c>
      <c r="B16" s="16" t="inlineStr">
        <is>
          <t>2026-05-01T09:00:00Z</t>
        </is>
      </c>
      <c r="C16" s="16" t="inlineStr">
        <is>
          <t>surface</t>
        </is>
      </c>
      <c r="D16" s="69" t="n">
        <v>38</v>
      </c>
      <c r="E16" s="17" t="n">
        <v>0.18</v>
      </c>
      <c r="F16" s="17" t="n">
        <v>0.92</v>
      </c>
      <c r="G16" s="70">
        <f>IFERROR(MAX(0,MIN(1,Assumptions!$B$3*(1-F16)+Assumptions!$B$4*E16+Assumptions!$B$5*VLOOKUP(C16,Assumptions!$A$10:$B$14,2,FALSE))),"ERR")</f>
        <v/>
      </c>
      <c r="H16" s="71">
        <f>IFERROR(VLOOKUP(C16,Assumptions!$A$10:$C$14,3,FALSE),"ERR")</f>
        <v/>
      </c>
      <c r="I16" s="16" t="inlineStr">
        <is>
          <t>definition_confirmed</t>
        </is>
      </c>
    </row>
    <row r="17" ht="16" customHeight="1">
      <c r="A17" s="16" t="inlineStr">
        <is>
          <t>TKN-014</t>
        </is>
      </c>
      <c r="B17" s="16" t="inlineStr">
        <is>
          <t>2026-05-03T16:10:00Z</t>
        </is>
      </c>
      <c r="C17" s="16" t="inlineStr">
        <is>
          <t>causal</t>
        </is>
      </c>
      <c r="D17" s="69" t="n">
        <v>79</v>
      </c>
      <c r="E17" s="17" t="n">
        <v>0.8</v>
      </c>
      <c r="F17" s="17" t="n">
        <v>0.3</v>
      </c>
      <c r="G17" s="72">
        <f>IFERROR(MAX(0,MIN(1,Assumptions!$B$3*(1-F17)+Assumptions!$B$4*E17+Assumptions!$B$5*VLOOKUP(C17,Assumptions!$A$10:$B$14,2,FALSE))),"ERR")</f>
        <v/>
      </c>
      <c r="H17" s="73">
        <f>IFERROR(VLOOKUP(C17,Assumptions!$A$10:$C$14,3,FALSE),"ERR")</f>
        <v/>
      </c>
      <c r="I17" s="16" t="inlineStr">
        <is>
          <t>feedback_loop_identified</t>
        </is>
      </c>
    </row>
    <row r="18" ht="16" customHeight="1">
      <c r="A18" s="16" t="inlineStr">
        <is>
          <t>TKN-015</t>
        </is>
      </c>
      <c r="B18" s="16" t="inlineStr">
        <is>
          <t>2026-05-05T10:50:00Z</t>
        </is>
      </c>
      <c r="C18" s="16" t="inlineStr">
        <is>
          <t>pattern</t>
        </is>
      </c>
      <c r="D18" s="69" t="n">
        <v>58</v>
      </c>
      <c r="E18" s="17" t="n">
        <v>0.62</v>
      </c>
      <c r="F18" s="17" t="n">
        <v>0.58</v>
      </c>
      <c r="G18" s="70">
        <f>IFERROR(MAX(0,MIN(1,Assumptions!$B$3*(1-F18)+Assumptions!$B$4*E18+Assumptions!$B$5*VLOOKUP(C18,Assumptions!$A$10:$B$14,2,FALSE))),"ERR")</f>
        <v/>
      </c>
      <c r="H18" s="71">
        <f>IFERROR(VLOOKUP(C18,Assumptions!$A$10:$C$14,3,FALSE),"ERR")</f>
        <v/>
      </c>
      <c r="I18" s="16" t="inlineStr">
        <is>
          <t>analogical_transfer_made</t>
        </is>
      </c>
    </row>
    <row r="21" ht="16" customHeight="1">
      <c r="A21" s="4" t="inlineStr">
        <is>
          <t>Portfolio Statistics</t>
        </is>
      </c>
      <c r="B21" s="5" t="n"/>
      <c r="C21" s="5" t="n"/>
      <c r="D21" s="6" t="n"/>
    </row>
    <row r="22" ht="18" customHeight="1">
      <c r="A22" s="7" t="inlineStr">
        <is>
          <t>Metric</t>
        </is>
      </c>
      <c r="B22" s="7" t="inlineStr">
        <is>
          <t>Value</t>
        </is>
      </c>
      <c r="C22" s="7" t="inlineStr">
        <is>
          <t>Formula Note</t>
        </is>
      </c>
      <c r="D22" s="7" t="inlineStr"/>
    </row>
    <row r="23">
      <c r="A23" s="21" t="inlineStr">
        <is>
          <t>Token Count</t>
        </is>
      </c>
      <c r="B23" s="74">
        <f>COUNTA(A4:A18)</f>
        <v/>
      </c>
      <c r="C23" s="2" t="inlineStr">
        <is>
          <t>Count all non-empty token IDs</t>
        </is>
      </c>
    </row>
    <row r="24">
      <c r="A24" s="21" t="inlineStr">
        <is>
          <t>Total Amount</t>
        </is>
      </c>
      <c r="B24" s="26">
        <f>IFERROR(SUM(H4:H18),"ERR")</f>
        <v/>
      </c>
      <c r="C24" s="2" t="inlineStr">
        <is>
          <t>Sum of all token amounts</t>
        </is>
      </c>
    </row>
    <row r="25">
      <c r="A25" s="21" t="inlineStr">
        <is>
          <t>Average Rarity Score</t>
        </is>
      </c>
      <c r="B25" s="75">
        <f>IFERROR(AVERAGE(G4:G18),"ERR")</f>
        <v/>
      </c>
      <c r="C25" s="2" t="inlineStr">
        <is>
          <t>Mean rarity across portfolio</t>
        </is>
      </c>
    </row>
    <row r="26">
      <c r="A26" s="21" t="inlineStr">
        <is>
          <t>Max Rarity Score</t>
        </is>
      </c>
      <c r="B26" s="25">
        <f>IFERROR(MAX(G4:G18),"ERR")</f>
        <v/>
      </c>
      <c r="C26" s="2" t="inlineStr">
        <is>
          <t>Highest rarity in portfolio</t>
        </is>
      </c>
    </row>
    <row r="27">
      <c r="A27" s="21" t="inlineStr">
        <is>
          <t>Min Rarity Score</t>
        </is>
      </c>
      <c r="B27" s="75">
        <f>IFERROR(MIN(G4:G18),"ERR")</f>
        <v/>
      </c>
      <c r="C27" s="2" t="inlineStr">
        <is>
          <t>Lowest rarity in portfolio</t>
        </is>
      </c>
    </row>
    <row r="28">
      <c r="A28" s="21" t="inlineStr">
        <is>
          <t>Theoretical Tokens</t>
        </is>
      </c>
      <c r="B28" s="26">
        <f>COUNTIF(C4:C18,"theoretical")</f>
        <v/>
      </c>
      <c r="C28" s="2" t="inlineStr">
        <is>
          <t>Count of theoretical-tier tokens</t>
        </is>
      </c>
    </row>
    <row r="29">
      <c r="A29" s="21" t="inlineStr">
        <is>
          <t>Causal Tokens</t>
        </is>
      </c>
      <c r="B29" s="74">
        <f>COUNTIF(C4:C18,"causal")</f>
        <v/>
      </c>
      <c r="C29" s="2" t="inlineStr">
        <is>
          <t>Count of causal-tier tokens</t>
        </is>
      </c>
    </row>
    <row r="30">
      <c r="A30" s="21" t="inlineStr">
        <is>
          <t>Structural Tokens</t>
        </is>
      </c>
      <c r="B30" s="26">
        <f>COUNTIF(C4:C18,"structural")</f>
        <v/>
      </c>
      <c r="C30" s="2" t="inlineStr">
        <is>
          <t>Count of structural-tier tokens</t>
        </is>
      </c>
    </row>
    <row r="31">
      <c r="A31" s="21" t="inlineStr">
        <is>
          <t>Pattern Tokens</t>
        </is>
      </c>
      <c r="B31" s="74">
        <f>COUNTIF(C4:C18,"pattern")</f>
        <v/>
      </c>
      <c r="C31" s="2" t="inlineStr">
        <is>
          <t>Count of pattern-tier tokens</t>
        </is>
      </c>
    </row>
    <row r="32">
      <c r="A32" s="21" t="inlineStr">
        <is>
          <t>Surface Tokens</t>
        </is>
      </c>
      <c r="B32" s="26">
        <f>COUNTIF(C4:C18,"surface")</f>
        <v/>
      </c>
      <c r="C32" s="2" t="inlineStr">
        <is>
          <t>Count of surface-tier tokens</t>
        </is>
      </c>
    </row>
    <row r="33">
      <c r="A33" s="21" t="inlineStr">
        <is>
          <t>Very Rare (≥0.75)</t>
        </is>
      </c>
      <c r="B33" s="74">
        <f>COUNTIF(G4:G18,"&gt;="&amp;0.75)</f>
        <v/>
      </c>
      <c r="C33" s="2" t="inlineStr">
        <is>
          <t>Rarity ≥ 0.75</t>
        </is>
      </c>
    </row>
    <row r="34">
      <c r="A34" s="21" t="inlineStr">
        <is>
          <t>Rare (0.50–0.74)</t>
        </is>
      </c>
      <c r="B34" s="26">
        <f>COUNTIFS(G4:G18,"&gt;="&amp;0.5,G4:G18,"&lt;"&amp;0.75)</f>
        <v/>
      </c>
      <c r="C34" s="2" t="inlineStr">
        <is>
          <t>0.50 ≤ rarity &lt; 0.75</t>
        </is>
      </c>
    </row>
    <row r="35">
      <c r="A35" s="21" t="inlineStr">
        <is>
          <t>Uncommon (0.25–0.49)</t>
        </is>
      </c>
      <c r="B35" s="74">
        <f>COUNTIFS(G4:G18,"&gt;="&amp;0.25,G4:G18,"&lt;"&amp;0.5)</f>
        <v/>
      </c>
      <c r="C35" s="2" t="inlineStr">
        <is>
          <t>0.25 ≤ rarity &lt; 0.50</t>
        </is>
      </c>
    </row>
    <row r="36">
      <c r="A36" s="21" t="inlineStr">
        <is>
          <t>Common (&lt;0.25)</t>
        </is>
      </c>
      <c r="B36" s="26">
        <f>COUNTIF(G4:G18,"&lt;"&amp;0.25)</f>
        <v/>
      </c>
      <c r="C36" s="2" t="inlineStr">
        <is>
          <t>Rarity &lt; 0.25</t>
        </is>
      </c>
    </row>
  </sheetData>
  <mergeCells count="3">
    <mergeCell ref="A1:I1"/>
    <mergeCell ref="A2:I2"/>
    <mergeCell ref="A21:D21"/>
  </mergeCells>
  <dataValidations count="1">
    <dataValidation sqref="C4:C18" showDropDown="0" showInputMessage="0" showErrorMessage="0" allowBlank="0" type="list">
      <formula1>"surface,pattern,structural,causal,theoretical"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16" customHeight="1">
      <c r="A1" s="4" t="inlineStr">
        <is>
          <t>Exchange Constraint Evaluator  (domain.py:evaluate_exchange_request)</t>
        </is>
      </c>
      <c r="B1" s="5" t="n"/>
      <c r="C1" s="5" t="n"/>
      <c r="D1" s="5" t="n"/>
      <c r="E1" s="5" t="n"/>
      <c r="F1" s="6" t="n"/>
    </row>
    <row r="2" ht="18" customHeight="1">
      <c r="A2" s="23" t="inlineStr">
        <is>
          <t>Enter the requested scope (up to 10 key-value pairs) and the approval flag. The three constraint layers evaluate in order: Safety → Ethics → Economic Stability.</t>
        </is>
      </c>
    </row>
    <row r="4" ht="16" customHeight="1">
      <c r="A4" s="4" t="inlineStr">
        <is>
          <t>Request Inputs</t>
        </is>
      </c>
      <c r="B4" s="5" t="n"/>
      <c r="C4" s="5" t="n"/>
      <c r="D4" s="5" t="n"/>
      <c r="E4" s="5" t="n"/>
      <c r="F4" s="6" t="n"/>
    </row>
    <row r="5">
      <c r="A5" s="11" t="inlineStr">
        <is>
          <t>Request ID</t>
        </is>
      </c>
      <c r="B5" s="16" t="inlineStr">
        <is>
          <t>REQ-001</t>
        </is>
      </c>
    </row>
    <row r="6">
      <c r="A6" s="11" t="inlineStr">
        <is>
          <t>Student ID</t>
        </is>
      </c>
      <c r="B6" s="16" t="inlineStr">
        <is>
          <t>STU-042</t>
        </is>
      </c>
    </row>
    <row r="7">
      <c r="A7" s="11" t="inlineStr">
        <is>
          <t>Reward ID</t>
        </is>
      </c>
      <c r="B7" s="16" t="inlineStr">
        <is>
          <t>RWD-007</t>
        </is>
      </c>
    </row>
    <row r="8">
      <c r="A8" s="11" t="inlineStr">
        <is>
          <t>Explicit Irreversible Approval (TRUE/FALSE)</t>
        </is>
      </c>
      <c r="B8" s="16" t="inlineStr">
        <is>
          <t>FALSE</t>
        </is>
      </c>
    </row>
    <row r="10" ht="16" customHeight="1">
      <c r="A10" s="4" t="inlineStr">
        <is>
          <t>Requested Scope  (up to 10 key-value pairs)</t>
        </is>
      </c>
      <c r="B10" s="5" t="n"/>
      <c r="C10" s="5" t="n"/>
      <c r="D10" s="5" t="n"/>
      <c r="E10" s="5" t="n"/>
      <c r="F10" s="6" t="n"/>
    </row>
    <row r="11" ht="18" customHeight="1">
      <c r="A11" s="7" t="inlineStr">
        <is>
          <t>Scope Key</t>
        </is>
      </c>
      <c r="B11" s="7" t="inlineStr">
        <is>
          <t>Scope Value</t>
        </is>
      </c>
      <c r="C11" s="7" t="inlineStr">
        <is>
          <t>Type / Notes</t>
        </is>
      </c>
      <c r="D11" s="7" t="inlineStr"/>
      <c r="E11" s="7" t="inlineStr"/>
      <c r="F11" s="7" t="inlineStr"/>
    </row>
    <row r="12">
      <c r="A12" s="16" t="inlineStr">
        <is>
          <t>token_amount</t>
        </is>
      </c>
      <c r="B12" s="16" t="n">
        <v>3</v>
      </c>
      <c r="C12" s="22" t="inlineStr">
        <is>
          <t>int — capped by max_token_amount</t>
        </is>
      </c>
    </row>
    <row r="13">
      <c r="A13" s="16" t="inlineStr">
        <is>
          <t>knowledge_domain</t>
        </is>
      </c>
      <c r="B13" s="16" t="inlineStr">
        <is>
          <t>physics</t>
        </is>
      </c>
      <c r="C13" s="22" t="inlineStr">
        <is>
          <t>str — domain of knowledge exchange</t>
        </is>
      </c>
    </row>
    <row r="14">
      <c r="A14" s="16" t="inlineStr">
        <is>
          <t>session_access</t>
        </is>
      </c>
      <c r="B14" s="16" t="inlineStr">
        <is>
          <t>TRUE</t>
        </is>
      </c>
      <c r="C14" s="22" t="inlineStr">
        <is>
          <t>bool — access to session data</t>
        </is>
      </c>
    </row>
    <row r="15">
      <c r="A15" s="16" t="inlineStr">
        <is>
          <t>comment</t>
        </is>
      </c>
      <c r="B15" s="16" t="inlineStr">
        <is>
          <t>earned_via_causal_chain</t>
        </is>
      </c>
      <c r="C15" s="22" t="inlineStr">
        <is>
          <t>str — human notes</t>
        </is>
      </c>
    </row>
    <row r="16">
      <c r="A16" s="16" t="inlineStr">
        <is>
          <t>reward_id</t>
        </is>
      </c>
      <c r="B16" s="16" t="inlineStr">
        <is>
          <t>RWD-007</t>
        </is>
      </c>
      <c r="C16" s="22" t="inlineStr">
        <is>
          <t>str — associated reward</t>
        </is>
      </c>
    </row>
    <row r="17">
      <c r="A17" s="16" t="inlineStr"/>
      <c r="B17" s="16" t="inlineStr"/>
      <c r="C17" s="22" t="inlineStr"/>
    </row>
    <row r="18">
      <c r="A18" s="16" t="inlineStr"/>
      <c r="B18" s="16" t="inlineStr"/>
      <c r="C18" s="22" t="inlineStr"/>
    </row>
    <row r="19">
      <c r="A19" s="16" t="inlineStr"/>
      <c r="B19" s="16" t="inlineStr"/>
      <c r="C19" s="22" t="inlineStr"/>
    </row>
    <row r="20">
      <c r="A20" s="16" t="inlineStr"/>
      <c r="B20" s="16" t="inlineStr"/>
      <c r="C20" s="22" t="inlineStr"/>
    </row>
    <row r="21">
      <c r="A21" s="16" t="inlineStr"/>
      <c r="B21" s="16" t="inlineStr"/>
      <c r="C21" s="22" t="inlineStr"/>
    </row>
    <row r="24" ht="16" customHeight="1">
      <c r="A24" s="4" t="inlineStr">
        <is>
          <t>Layer 1: Safety / Security  (Hard Gate)</t>
        </is>
      </c>
      <c r="B24" s="5" t="n"/>
      <c r="C24" s="5" t="n"/>
      <c r="D24" s="5" t="n"/>
      <c r="E24" s="5" t="n"/>
      <c r="F24" s="6" t="n"/>
    </row>
    <row r="25" ht="18" customHeight="1">
      <c r="A25" s="7" t="inlineStr">
        <is>
          <t>Scope Key</t>
        </is>
      </c>
      <c r="B25" s="7" t="inlineStr">
        <is>
          <t>In Blocked List?</t>
        </is>
      </c>
      <c r="C25" s="7" t="inlineStr">
        <is>
          <t>Layer 1 Result</t>
        </is>
      </c>
      <c r="D25" s="7" t="inlineStr"/>
      <c r="E25" s="7" t="inlineStr"/>
      <c r="F25" s="7" t="inlineStr"/>
    </row>
    <row r="26">
      <c r="A26" s="76">
        <f>A12</f>
        <v/>
      </c>
      <c r="B26" s="18">
        <f>IF(A12="","—",IF(COUNTIF(Assumptions!$A$25:$A$37,A12)&gt;0,"BLOCKED","PASS"))</f>
        <v/>
      </c>
    </row>
    <row r="27">
      <c r="A27" s="77">
        <f>A13</f>
        <v/>
      </c>
      <c r="B27" s="12">
        <f>IF(A13="","—",IF(COUNTIF(Assumptions!$A$25:$A$37,A13)&gt;0,"BLOCKED","PASS"))</f>
        <v/>
      </c>
    </row>
    <row r="28">
      <c r="A28" s="76">
        <f>A14</f>
        <v/>
      </c>
      <c r="B28" s="18">
        <f>IF(A14="","—",IF(COUNTIF(Assumptions!$A$25:$A$37,A14)&gt;0,"BLOCKED","PASS"))</f>
        <v/>
      </c>
    </row>
    <row r="29">
      <c r="A29" s="77">
        <f>A15</f>
        <v/>
      </c>
      <c r="B29" s="12">
        <f>IF(A15="","—",IF(COUNTIF(Assumptions!$A$25:$A$37,A15)&gt;0,"BLOCKED","PASS"))</f>
        <v/>
      </c>
    </row>
    <row r="30">
      <c r="A30" s="76">
        <f>A16</f>
        <v/>
      </c>
      <c r="B30" s="18">
        <f>IF(A16="","—",IF(COUNTIF(Assumptions!$A$25:$A$37,A16)&gt;0,"BLOCKED","PASS"))</f>
        <v/>
      </c>
    </row>
    <row r="31">
      <c r="A31" s="77">
        <f>A17</f>
        <v/>
      </c>
      <c r="B31" s="12">
        <f>IF(A17="","—",IF(COUNTIF(Assumptions!$A$25:$A$37,A17)&gt;0,"BLOCKED","PASS"))</f>
        <v/>
      </c>
    </row>
    <row r="32">
      <c r="A32" s="76">
        <f>A18</f>
        <v/>
      </c>
      <c r="B32" s="18">
        <f>IF(A18="","—",IF(COUNTIF(Assumptions!$A$25:$A$37,A18)&gt;0,"BLOCKED","PASS"))</f>
        <v/>
      </c>
    </row>
    <row r="33">
      <c r="A33" s="77">
        <f>A19</f>
        <v/>
      </c>
      <c r="B33" s="12">
        <f>IF(A19="","—",IF(COUNTIF(Assumptions!$A$25:$A$37,A19)&gt;0,"BLOCKED","PASS"))</f>
        <v/>
      </c>
    </row>
    <row r="34">
      <c r="A34" s="76">
        <f>A20</f>
        <v/>
      </c>
      <c r="B34" s="18">
        <f>IF(A20="","—",IF(COUNTIF(Assumptions!$A$25:$A$37,A20)&gt;0,"BLOCKED","PASS"))</f>
        <v/>
      </c>
    </row>
    <row r="35">
      <c r="A35" s="77">
        <f>A21</f>
        <v/>
      </c>
      <c r="B35" s="12">
        <f>IF(A21="","—",IF(COUNTIF(Assumptions!$A$25:$A$37,A21)&gt;0,"BLOCKED","PASS"))</f>
        <v/>
      </c>
    </row>
    <row r="37">
      <c r="A37" s="11" t="inlineStr">
        <is>
          <t>Layer 1 Overall Decision</t>
        </is>
      </c>
      <c r="B37" s="78">
        <f>IF(COUNTIF(B26:B35,"BLOCKED")&gt;0,"✗ REJECTED — blocked scope key present","✓ PASSED")</f>
        <v/>
      </c>
    </row>
    <row r="38">
      <c r="A38" s="11" t="inlineStr">
        <is>
          <t>Blocked Key Count</t>
        </is>
      </c>
      <c r="B38" s="26">
        <f>COUNTIF(B26:B35,"BLOCKED")</f>
        <v/>
      </c>
    </row>
    <row r="40" ht="16" customHeight="1">
      <c r="A40" s="4" t="inlineStr">
        <is>
          <t>Layer 2: Ethics / Irreversibility  (Scope Narrowing)</t>
        </is>
      </c>
      <c r="B40" s="5" t="n"/>
      <c r="C40" s="5" t="n"/>
      <c r="D40" s="5" t="n"/>
      <c r="E40" s="5" t="n"/>
      <c r="F40" s="6" t="n"/>
    </row>
    <row r="41" ht="18" customHeight="1">
      <c r="A41" s="7" t="inlineStr">
        <is>
          <t>Scope Key</t>
        </is>
      </c>
      <c r="B41" s="7" t="inlineStr">
        <is>
          <t>Irreversible?</t>
        </is>
      </c>
      <c r="C41" s="7" t="inlineStr">
        <is>
          <t>Approval Flag</t>
        </is>
      </c>
      <c r="D41" s="7" t="inlineStr">
        <is>
          <t>Layer 2 Result</t>
        </is>
      </c>
      <c r="E41" s="7" t="inlineStr"/>
      <c r="F41" s="7" t="inlineStr"/>
    </row>
    <row r="42">
      <c r="A42" s="76">
        <f>A12</f>
        <v/>
      </c>
      <c r="B42" s="18">
        <f>IF(A12="","—",IF(COUNTIF(Assumptions!$A$36:$A$47,A12)&gt;0,"YES","NO"))</f>
        <v/>
      </c>
      <c r="C42" s="18">
        <f>$B$8</f>
        <v/>
      </c>
      <c r="D42" s="18">
        <f>IF(A12="","—",IF(AND(COUNTIF(Assumptions!$A$36:$A$47,A12)&gt;0,Assumptions!$B$21="TRUE",$B$8="FALSE"),"STRIPPED","APPROVED"))</f>
        <v/>
      </c>
    </row>
    <row r="43">
      <c r="A43" s="77">
        <f>A13</f>
        <v/>
      </c>
      <c r="B43" s="12">
        <f>IF(A13="","—",IF(COUNTIF(Assumptions!$A$36:$A$47,A13)&gt;0,"YES","NO"))</f>
        <v/>
      </c>
      <c r="C43" s="12">
        <f>$B$8</f>
        <v/>
      </c>
      <c r="D43" s="12">
        <f>IF(A13="","—",IF(AND(COUNTIF(Assumptions!$A$36:$A$47,A13)&gt;0,Assumptions!$B$21="TRUE",$B$8="FALSE"),"STRIPPED","APPROVED"))</f>
        <v/>
      </c>
    </row>
    <row r="44">
      <c r="A44" s="76">
        <f>A14</f>
        <v/>
      </c>
      <c r="B44" s="18">
        <f>IF(A14="","—",IF(COUNTIF(Assumptions!$A$36:$A$47,A14)&gt;0,"YES","NO"))</f>
        <v/>
      </c>
      <c r="C44" s="18">
        <f>$B$8</f>
        <v/>
      </c>
      <c r="D44" s="18">
        <f>IF(A14="","—",IF(AND(COUNTIF(Assumptions!$A$36:$A$47,A14)&gt;0,Assumptions!$B$21="TRUE",$B$8="FALSE"),"STRIPPED","APPROVED"))</f>
        <v/>
      </c>
    </row>
    <row r="45">
      <c r="A45" s="77">
        <f>A15</f>
        <v/>
      </c>
      <c r="B45" s="12">
        <f>IF(A15="","—",IF(COUNTIF(Assumptions!$A$36:$A$47,A15)&gt;0,"YES","NO"))</f>
        <v/>
      </c>
      <c r="C45" s="12">
        <f>$B$8</f>
        <v/>
      </c>
      <c r="D45" s="12">
        <f>IF(A15="","—",IF(AND(COUNTIF(Assumptions!$A$36:$A$47,A15)&gt;0,Assumptions!$B$21="TRUE",$B$8="FALSE"),"STRIPPED","APPROVED"))</f>
        <v/>
      </c>
    </row>
    <row r="46">
      <c r="A46" s="76">
        <f>A16</f>
        <v/>
      </c>
      <c r="B46" s="18">
        <f>IF(A16="","—",IF(COUNTIF(Assumptions!$A$36:$A$47,A16)&gt;0,"YES","NO"))</f>
        <v/>
      </c>
      <c r="C46" s="18">
        <f>$B$8</f>
        <v/>
      </c>
      <c r="D46" s="18">
        <f>IF(A16="","—",IF(AND(COUNTIF(Assumptions!$A$36:$A$47,A16)&gt;0,Assumptions!$B$21="TRUE",$B$8="FALSE"),"STRIPPED","APPROVED"))</f>
        <v/>
      </c>
    </row>
    <row r="47">
      <c r="A47" s="77">
        <f>A17</f>
        <v/>
      </c>
      <c r="B47" s="12">
        <f>IF(A17="","—",IF(COUNTIF(Assumptions!$A$36:$A$47,A17)&gt;0,"YES","NO"))</f>
        <v/>
      </c>
      <c r="C47" s="12">
        <f>$B$8</f>
        <v/>
      </c>
      <c r="D47" s="12">
        <f>IF(A17="","—",IF(AND(COUNTIF(Assumptions!$A$36:$A$47,A17)&gt;0,Assumptions!$B$21="TRUE",$B$8="FALSE"),"STRIPPED","APPROVED"))</f>
        <v/>
      </c>
    </row>
    <row r="48">
      <c r="A48" s="76">
        <f>A18</f>
        <v/>
      </c>
      <c r="B48" s="18">
        <f>IF(A18="","—",IF(COUNTIF(Assumptions!$A$36:$A$47,A18)&gt;0,"YES","NO"))</f>
        <v/>
      </c>
      <c r="C48" s="18">
        <f>$B$8</f>
        <v/>
      </c>
      <c r="D48" s="18">
        <f>IF(A18="","—",IF(AND(COUNTIF(Assumptions!$A$36:$A$47,A18)&gt;0,Assumptions!$B$21="TRUE",$B$8="FALSE"),"STRIPPED","APPROVED"))</f>
        <v/>
      </c>
    </row>
    <row r="49">
      <c r="A49" s="77">
        <f>A19</f>
        <v/>
      </c>
      <c r="B49" s="12">
        <f>IF(A19="","—",IF(COUNTIF(Assumptions!$A$36:$A$47,A19)&gt;0,"YES","NO"))</f>
        <v/>
      </c>
      <c r="C49" s="12">
        <f>$B$8</f>
        <v/>
      </c>
      <c r="D49" s="12">
        <f>IF(A19="","—",IF(AND(COUNTIF(Assumptions!$A$36:$A$47,A19)&gt;0,Assumptions!$B$21="TRUE",$B$8="FALSE"),"STRIPPED","APPROVED"))</f>
        <v/>
      </c>
    </row>
    <row r="50">
      <c r="A50" s="76">
        <f>A20</f>
        <v/>
      </c>
      <c r="B50" s="18">
        <f>IF(A20="","—",IF(COUNTIF(Assumptions!$A$36:$A$47,A20)&gt;0,"YES","NO"))</f>
        <v/>
      </c>
      <c r="C50" s="18">
        <f>$B$8</f>
        <v/>
      </c>
      <c r="D50" s="18">
        <f>IF(A20="","—",IF(AND(COUNTIF(Assumptions!$A$36:$A$47,A20)&gt;0,Assumptions!$B$21="TRUE",$B$8="FALSE"),"STRIPPED","APPROVED"))</f>
        <v/>
      </c>
    </row>
    <row r="51">
      <c r="A51" s="77">
        <f>A21</f>
        <v/>
      </c>
      <c r="B51" s="12">
        <f>IF(A21="","—",IF(COUNTIF(Assumptions!$A$36:$A$47,A21)&gt;0,"YES","NO"))</f>
        <v/>
      </c>
      <c r="C51" s="12">
        <f>$B$8</f>
        <v/>
      </c>
      <c r="D51" s="12">
        <f>IF(A21="","—",IF(AND(COUNTIF(Assumptions!$A$36:$A$47,A21)&gt;0,Assumptions!$B$21="TRUE",$B$8="FALSE"),"STRIPPED","APPROVED"))</f>
        <v/>
      </c>
    </row>
    <row r="53">
      <c r="A53" s="11" t="inlineStr">
        <is>
          <t>Layer 2 Keys Stripped</t>
        </is>
      </c>
      <c r="B53" s="26">
        <f>COUNTIF(D42:D51,"STRIPPED")</f>
        <v/>
      </c>
    </row>
    <row r="54">
      <c r="A54" s="11" t="inlineStr">
        <is>
          <t>Layer 2 Overall Status</t>
        </is>
      </c>
      <c r="B54" s="12">
        <f>IF(D37="✗ REJECTED — blocked scope key present","N/A (Layer 1 rejected)","✓ PASSED")</f>
        <v/>
      </c>
    </row>
    <row r="56" ht="16" customHeight="1">
      <c r="A56" s="4" t="inlineStr">
        <is>
          <t>Layer 3: Economic Stability  (Scope Narrowing)</t>
        </is>
      </c>
      <c r="B56" s="5" t="n"/>
      <c r="C56" s="5" t="n"/>
      <c r="D56" s="5" t="n"/>
      <c r="E56" s="5" t="n"/>
      <c r="F56" s="6" t="n"/>
    </row>
    <row r="57" ht="18" customHeight="1">
      <c r="A57" s="7" t="inlineStr">
        <is>
          <t>Scope Key</t>
        </is>
      </c>
      <c r="B57" s="7" t="inlineStr">
        <is>
          <t>Scope Value</t>
        </is>
      </c>
      <c r="C57" s="7" t="inlineStr">
        <is>
          <t>Layer 3 Result</t>
        </is>
      </c>
      <c r="D57" s="7" t="inlineStr">
        <is>
          <t>Capped Value</t>
        </is>
      </c>
      <c r="E57" s="7" t="inlineStr"/>
      <c r="F57" s="7" t="inlineStr"/>
    </row>
    <row r="58">
      <c r="A58" s="11" t="inlineStr">
        <is>
          <t>Approved Scope Item Count</t>
        </is>
      </c>
      <c r="B58" s="26">
        <f>SUMPRODUCT((A12:A21&lt;&gt;"")*(B26:B35&lt;&gt;"BLOCKED")*(D42:D51&lt;&gt;"STRIPPED"))</f>
        <v/>
      </c>
    </row>
    <row r="59">
      <c r="A59" s="11" t="inlineStr">
        <is>
          <t>Max Scope Items</t>
        </is>
      </c>
      <c r="B59" s="73">
        <f>Assumptions!$B$20</f>
        <v/>
      </c>
    </row>
    <row r="60">
      <c r="A60" s="11" t="inlineStr">
        <is>
          <t>Max Token Amount</t>
        </is>
      </c>
      <c r="B60" s="73">
        <f>Assumptions!$B$19</f>
        <v/>
      </c>
    </row>
    <row r="62">
      <c r="A62" s="76">
        <f>A12</f>
        <v/>
      </c>
      <c r="B62" s="76">
        <f>B12</f>
        <v/>
      </c>
      <c r="C62" s="18">
        <f>IF(A12="","—",IF(B26="BLOCKED","BLOCKED (L1)",IF(D42="STRIPPED","STRIPPED (L2)",IF(SUMPRODUCT((B26&lt;&gt;"BLOCKED")*(D42&lt;&gt;"STRIPPED")*(A12:A11&lt;&gt;"")*(B26:B25&lt;&gt;"BLOCKED")*(D42:D41&lt;&gt;"STRIPPED"))+1&gt;$B$59,"OVER_LIMIT","APPROVED"))))</f>
        <v/>
      </c>
      <c r="D62" s="18">
        <f>IF(AND(A12="token_amount",ISNUMBER(B12),B12&gt;$B$60),$B$60,B12)</f>
        <v/>
      </c>
    </row>
    <row r="63">
      <c r="A63" s="77">
        <f>A13</f>
        <v/>
      </c>
      <c r="B63" s="77">
        <f>B13</f>
        <v/>
      </c>
      <c r="C63" s="12">
        <f>IF(A13="","—",IF(B27="BLOCKED","BLOCKED (L1)",IF(D43="STRIPPED","STRIPPED (L2)",IF(SUMPRODUCT((B27&lt;&gt;"BLOCKED")*(D43&lt;&gt;"STRIPPED")*(A12:A12&lt;&gt;"")*(B26:B26&lt;&gt;"BLOCKED")*(D42:D42&lt;&gt;"STRIPPED"))+1&gt;$B$59,"OVER_LIMIT","APPROVED"))))</f>
        <v/>
      </c>
      <c r="D63" s="12">
        <f>IF(AND(A13="token_amount",ISNUMBER(B13),B13&gt;$B$60),$B$60,B13)</f>
        <v/>
      </c>
    </row>
    <row r="64">
      <c r="A64" s="76">
        <f>A14</f>
        <v/>
      </c>
      <c r="B64" s="76">
        <f>B14</f>
        <v/>
      </c>
      <c r="C64" s="18">
        <f>IF(A14="","—",IF(B28="BLOCKED","BLOCKED (L1)",IF(D44="STRIPPED","STRIPPED (L2)",IF(SUMPRODUCT((B28&lt;&gt;"BLOCKED")*(D44&lt;&gt;"STRIPPED")*(A12:A13&lt;&gt;"")*(B26:B27&lt;&gt;"BLOCKED")*(D42:D43&lt;&gt;"STRIPPED"))+1&gt;$B$59,"OVER_LIMIT","APPROVED"))))</f>
        <v/>
      </c>
      <c r="D64" s="18">
        <f>IF(AND(A14="token_amount",ISNUMBER(B14),B14&gt;$B$60),$B$60,B14)</f>
        <v/>
      </c>
    </row>
    <row r="65">
      <c r="A65" s="77">
        <f>A15</f>
        <v/>
      </c>
      <c r="B65" s="77">
        <f>B15</f>
        <v/>
      </c>
      <c r="C65" s="12">
        <f>IF(A15="","—",IF(B29="BLOCKED","BLOCKED (L1)",IF(D45="STRIPPED","STRIPPED (L2)",IF(SUMPRODUCT((B29&lt;&gt;"BLOCKED")*(D45&lt;&gt;"STRIPPED")*(A12:A14&lt;&gt;"")*(B26:B28&lt;&gt;"BLOCKED")*(D42:D44&lt;&gt;"STRIPPED"))+1&gt;$B$59,"OVER_LIMIT","APPROVED"))))</f>
        <v/>
      </c>
      <c r="D65" s="12">
        <f>IF(AND(A15="token_amount",ISNUMBER(B15),B15&gt;$B$60),$B$60,B15)</f>
        <v/>
      </c>
    </row>
    <row r="66">
      <c r="A66" s="76">
        <f>A16</f>
        <v/>
      </c>
      <c r="B66" s="76">
        <f>B16</f>
        <v/>
      </c>
      <c r="C66" s="18">
        <f>IF(A16="","—",IF(B30="BLOCKED","BLOCKED (L1)",IF(D46="STRIPPED","STRIPPED (L2)",IF(SUMPRODUCT((B30&lt;&gt;"BLOCKED")*(D46&lt;&gt;"STRIPPED")*(A12:A15&lt;&gt;"")*(B26:B29&lt;&gt;"BLOCKED")*(D42:D45&lt;&gt;"STRIPPED"))+1&gt;$B$59,"OVER_LIMIT","APPROVED"))))</f>
        <v/>
      </c>
      <c r="D66" s="18">
        <f>IF(AND(A16="token_amount",ISNUMBER(B16),B16&gt;$B$60),$B$60,B16)</f>
        <v/>
      </c>
    </row>
    <row r="67">
      <c r="A67" s="77">
        <f>A17</f>
        <v/>
      </c>
      <c r="B67" s="77">
        <f>B17</f>
        <v/>
      </c>
      <c r="C67" s="12">
        <f>IF(A17="","—",IF(B31="BLOCKED","BLOCKED (L1)",IF(D47="STRIPPED","STRIPPED (L2)",IF(SUMPRODUCT((B31&lt;&gt;"BLOCKED")*(D47&lt;&gt;"STRIPPED")*(A12:A16&lt;&gt;"")*(B26:B30&lt;&gt;"BLOCKED")*(D42:D46&lt;&gt;"STRIPPED"))+1&gt;$B$59,"OVER_LIMIT","APPROVED"))))</f>
        <v/>
      </c>
      <c r="D67" s="12">
        <f>IF(AND(A17="token_amount",ISNUMBER(B17),B17&gt;$B$60),$B$60,B17)</f>
        <v/>
      </c>
    </row>
    <row r="68">
      <c r="A68" s="76">
        <f>A18</f>
        <v/>
      </c>
      <c r="B68" s="76">
        <f>B18</f>
        <v/>
      </c>
      <c r="C68" s="18">
        <f>IF(A18="","—",IF(B32="BLOCKED","BLOCKED (L1)",IF(D48="STRIPPED","STRIPPED (L2)",IF(SUMPRODUCT((B32&lt;&gt;"BLOCKED")*(D48&lt;&gt;"STRIPPED")*(A12:A17&lt;&gt;"")*(B26:B31&lt;&gt;"BLOCKED")*(D42:D47&lt;&gt;"STRIPPED"))+1&gt;$B$59,"OVER_LIMIT","APPROVED"))))</f>
        <v/>
      </c>
      <c r="D68" s="18">
        <f>IF(AND(A18="token_amount",ISNUMBER(B18),B18&gt;$B$60),$B$60,B18)</f>
        <v/>
      </c>
    </row>
    <row r="69">
      <c r="A69" s="77">
        <f>A19</f>
        <v/>
      </c>
      <c r="B69" s="77">
        <f>B19</f>
        <v/>
      </c>
      <c r="C69" s="12">
        <f>IF(A19="","—",IF(B33="BLOCKED","BLOCKED (L1)",IF(D49="STRIPPED","STRIPPED (L2)",IF(SUMPRODUCT((B33&lt;&gt;"BLOCKED")*(D49&lt;&gt;"STRIPPED")*(A12:A18&lt;&gt;"")*(B26:B32&lt;&gt;"BLOCKED")*(D42:D48&lt;&gt;"STRIPPED"))+1&gt;$B$59,"OVER_LIMIT","APPROVED"))))</f>
        <v/>
      </c>
      <c r="D69" s="12">
        <f>IF(AND(A19="token_amount",ISNUMBER(B19),B19&gt;$B$60),$B$60,B19)</f>
        <v/>
      </c>
    </row>
    <row r="70">
      <c r="A70" s="76">
        <f>A20</f>
        <v/>
      </c>
      <c r="B70" s="76">
        <f>B20</f>
        <v/>
      </c>
      <c r="C70" s="18">
        <f>IF(A20="","—",IF(B34="BLOCKED","BLOCKED (L1)",IF(D50="STRIPPED","STRIPPED (L2)",IF(SUMPRODUCT((B34&lt;&gt;"BLOCKED")*(D50&lt;&gt;"STRIPPED")*(A12:A19&lt;&gt;"")*(B26:B33&lt;&gt;"BLOCKED")*(D42:D49&lt;&gt;"STRIPPED"))+1&gt;$B$59,"OVER_LIMIT","APPROVED"))))</f>
        <v/>
      </c>
      <c r="D70" s="18">
        <f>IF(AND(A20="token_amount",ISNUMBER(B20),B20&gt;$B$60),$B$60,B20)</f>
        <v/>
      </c>
    </row>
    <row r="71">
      <c r="A71" s="77">
        <f>A21</f>
        <v/>
      </c>
      <c r="B71" s="77">
        <f>B21</f>
        <v/>
      </c>
      <c r="C71" s="12">
        <f>IF(A21="","—",IF(B35="BLOCKED","BLOCKED (L1)",IF(D51="STRIPPED","STRIPPED (L2)",IF(SUMPRODUCT((B35&lt;&gt;"BLOCKED")*(D51&lt;&gt;"STRIPPED")*(A12:A20&lt;&gt;"")*(B26:B34&lt;&gt;"BLOCKED")*(D42:D50&lt;&gt;"STRIPPED"))+1&gt;$B$59,"OVER_LIMIT","APPROVED"))))</f>
        <v/>
      </c>
      <c r="D71" s="12">
        <f>IF(AND(A21="token_amount",ISNUMBER(B21),B21&gt;$B$60),$B$60,B21)</f>
        <v/>
      </c>
    </row>
    <row r="74" ht="16" customHeight="1">
      <c r="A74" s="4" t="inlineStr">
        <is>
          <t>Final Exchange Result</t>
        </is>
      </c>
      <c r="B74" s="5" t="n"/>
      <c r="C74" s="5" t="n"/>
      <c r="D74" s="5" t="n"/>
      <c r="E74" s="5" t="n"/>
      <c r="F74" s="6" t="n"/>
    </row>
    <row r="75" ht="18" customHeight="1">
      <c r="A75" s="7" t="inlineStr">
        <is>
          <t>Field</t>
        </is>
      </c>
      <c r="B75" s="7" t="inlineStr">
        <is>
          <t>Value</t>
        </is>
      </c>
      <c r="C75" s="7" t="inlineStr"/>
      <c r="D75" s="7" t="inlineStr"/>
      <c r="E75" s="7" t="inlineStr"/>
      <c r="F75" s="7" t="inlineStr"/>
    </row>
    <row r="76">
      <c r="A76" s="21" t="inlineStr">
        <is>
          <t>Overall Approved</t>
        </is>
      </c>
      <c r="B76" s="78">
        <f>IF(B37="✓ PASSED","TRUE","FALSE")</f>
        <v/>
      </c>
    </row>
    <row r="77">
      <c r="A77" s="21" t="inlineStr">
        <is>
          <t>Items in Final Approved Scope</t>
        </is>
      </c>
      <c r="B77" s="26">
        <f>COUNTIF(C62:C71,"APPROVED")</f>
        <v/>
      </c>
    </row>
    <row r="78">
      <c r="A78" s="21" t="inlineStr">
        <is>
          <t>Items Blocked (Safety)</t>
        </is>
      </c>
      <c r="B78" s="26">
        <f>COUNTIF(C62:C71,"BLOCKED (L1)")</f>
        <v/>
      </c>
    </row>
    <row r="79">
      <c r="A79" s="21" t="inlineStr">
        <is>
          <t>Items Stripped (Ethics)</t>
        </is>
      </c>
      <c r="B79" s="26">
        <f>COUNTIF(C62:C71,"STRIPPED (L2)")</f>
        <v/>
      </c>
    </row>
    <row r="80">
      <c r="A80" s="21" t="inlineStr">
        <is>
          <t>Items Dropped (Over Limit)</t>
        </is>
      </c>
      <c r="B80" s="26">
        <f>COUNTIF(C62:C71,"OVER_LIMIT")</f>
        <v/>
      </c>
    </row>
    <row r="81">
      <c r="A81" s="21" t="inlineStr">
        <is>
          <t>token_amount After Cap</t>
        </is>
      </c>
      <c r="B81" s="26">
        <f>IFERROR(INDEX(D62:D71,MATCH("token_amount",A12:A21,0)),"N/A")</f>
        <v/>
      </c>
    </row>
  </sheetData>
  <mergeCells count="8">
    <mergeCell ref="A24:F24"/>
    <mergeCell ref="A2:F2"/>
    <mergeCell ref="A10:F10"/>
    <mergeCell ref="A1:F1"/>
    <mergeCell ref="A74:F74"/>
    <mergeCell ref="A40:F40"/>
    <mergeCell ref="A56:F56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 ht="16" customHeight="1">
      <c r="A1" s="4" t="inlineStr">
        <is>
          <t>Portfolio Summary Dashboard  (draws from Token_Log)</t>
        </is>
      </c>
      <c r="B1" s="5" t="n"/>
      <c r="C1" s="5" t="n"/>
      <c r="D1" s="5" t="n"/>
      <c r="E1" s="5" t="n"/>
      <c r="F1" s="6" t="n"/>
    </row>
    <row r="2">
      <c r="A2" s="23" t="inlineStr">
        <is>
          <t>All values computed from Token_Log via formulas. No manual inputs on this sheet.</t>
        </is>
      </c>
    </row>
    <row r="4" ht="16" customHeight="1">
      <c r="A4" s="4" t="inlineStr">
        <is>
          <t>A. Portfolio Overview</t>
        </is>
      </c>
      <c r="B4" s="5" t="n"/>
      <c r="C4" s="5" t="n"/>
      <c r="D4" s="5" t="n"/>
      <c r="E4" s="5" t="n"/>
      <c r="F4" s="6" t="n"/>
    </row>
    <row r="5" ht="18" customHeight="1">
      <c r="A5" s="7" t="inlineStr">
        <is>
          <t>Metric</t>
        </is>
      </c>
      <c r="B5" s="7" t="inlineStr">
        <is>
          <t>Value</t>
        </is>
      </c>
      <c r="C5" s="7" t="inlineStr"/>
      <c r="D5" s="7" t="inlineStr"/>
      <c r="E5" s="7" t="inlineStr"/>
      <c r="F5" s="7" t="inlineStr"/>
    </row>
    <row r="6">
      <c r="A6" s="21" t="inlineStr">
        <is>
          <t>Total Tokens Issued</t>
        </is>
      </c>
      <c r="B6" s="71">
        <f>COUNTA(Token_Log!A4:A18)</f>
        <v/>
      </c>
    </row>
    <row r="7">
      <c r="A7" s="21" t="inlineStr">
        <is>
          <t>Total Token Amount</t>
        </is>
      </c>
      <c r="B7" s="73">
        <f>IFERROR(SUM(Token_Log!H4:H18),0)</f>
        <v/>
      </c>
    </row>
    <row r="8">
      <c r="A8" s="21" t="inlineStr">
        <is>
          <t>Average Rarity Score</t>
        </is>
      </c>
      <c r="B8" s="70">
        <f>IFERROR(AVERAGE(Token_Log!G4:G18),0)</f>
        <v/>
      </c>
    </row>
    <row r="9">
      <c r="A9" s="21" t="inlineStr">
        <is>
          <t>Median Rarity Score</t>
        </is>
      </c>
      <c r="B9" s="72">
        <f>IFERROR(MEDIAN(Token_Log!G4:G18),0)</f>
        <v/>
      </c>
    </row>
    <row r="10">
      <c r="A10" s="21" t="inlineStr">
        <is>
          <t>Max Rarity Score</t>
        </is>
      </c>
      <c r="B10" s="70">
        <f>IFERROR(MAX(Token_Log!G4:G18),0)</f>
        <v/>
      </c>
    </row>
    <row r="11">
      <c r="A11" s="21" t="inlineStr">
        <is>
          <t>Min Rarity Score</t>
        </is>
      </c>
      <c r="B11" s="72">
        <f>IFERROR(MIN(Token_Log!G4:G18),0)</f>
        <v/>
      </c>
    </row>
    <row r="12">
      <c r="A12" s="21" t="inlineStr">
        <is>
          <t>Std Dev Rarity</t>
        </is>
      </c>
      <c r="B12" s="70">
        <f>IFERROR(STDEV(Token_Log!G4:G18),0)</f>
        <v/>
      </c>
    </row>
    <row r="15" ht="16" customHeight="1">
      <c r="A15" s="4" t="inlineStr">
        <is>
          <t>B. Tokens by Tier</t>
        </is>
      </c>
      <c r="B15" s="5" t="n"/>
      <c r="C15" s="5" t="n"/>
      <c r="D15" s="5" t="n"/>
      <c r="E15" s="5" t="n"/>
      <c r="F15" s="6" t="n"/>
    </row>
    <row r="16" ht="18" customHeight="1">
      <c r="A16" s="7" t="inlineStr">
        <is>
          <t>Insight Tier</t>
        </is>
      </c>
      <c r="B16" s="7" t="inlineStr">
        <is>
          <t>Count</t>
        </is>
      </c>
      <c r="C16" s="7" t="inlineStr">
        <is>
          <t>% of Portfolio</t>
        </is>
      </c>
      <c r="D16" s="7" t="inlineStr">
        <is>
          <t>Avg Rarity</t>
        </is>
      </c>
      <c r="E16" s="7" t="inlineStr">
        <is>
          <t>Avg Amount</t>
        </is>
      </c>
      <c r="F16" s="7" t="inlineStr">
        <is>
          <t>Total Amount</t>
        </is>
      </c>
    </row>
    <row r="17">
      <c r="A17" s="21" t="inlineStr">
        <is>
          <t>surface</t>
        </is>
      </c>
      <c r="B17" s="71">
        <f>COUNTIF(Token_Log!C4:C18,"surface")</f>
        <v/>
      </c>
      <c r="C17" s="79">
        <f>IFERROR(B17/SUM(B17:B21),0)</f>
        <v/>
      </c>
      <c r="D17" s="70">
        <f>IFERROR(AVERAGEIF(Token_Log!C4:C18,"surface",Token_Log!G4:G18),"-")</f>
        <v/>
      </c>
      <c r="E17" s="80">
        <f>IFERROR(AVERAGEIF(Token_Log!C4:C18,"surface",Token_Log!H4:H18),"-")</f>
        <v/>
      </c>
      <c r="F17" s="71">
        <f>IFERROR(SUMIF(Token_Log!C4:C18,"surface",Token_Log!H4:H18),0)</f>
        <v/>
      </c>
    </row>
    <row r="18">
      <c r="A18" s="21" t="inlineStr">
        <is>
          <t>pattern</t>
        </is>
      </c>
      <c r="B18" s="73">
        <f>COUNTIF(Token_Log!C4:C18,"pattern")</f>
        <v/>
      </c>
      <c r="C18" s="81">
        <f>IFERROR(B18/SUM(B17:B21),0)</f>
        <v/>
      </c>
      <c r="D18" s="72">
        <f>IFERROR(AVERAGEIF(Token_Log!C4:C18,"pattern",Token_Log!G4:G18),"-")</f>
        <v/>
      </c>
      <c r="E18" s="82">
        <f>IFERROR(AVERAGEIF(Token_Log!C4:C18,"pattern",Token_Log!H4:H18),"-")</f>
        <v/>
      </c>
      <c r="F18" s="73">
        <f>IFERROR(SUMIF(Token_Log!C4:C18,"pattern",Token_Log!H4:H18),0)</f>
        <v/>
      </c>
    </row>
    <row r="19">
      <c r="A19" s="21" t="inlineStr">
        <is>
          <t>structural</t>
        </is>
      </c>
      <c r="B19" s="71">
        <f>COUNTIF(Token_Log!C4:C18,"structural")</f>
        <v/>
      </c>
      <c r="C19" s="79">
        <f>IFERROR(B19/SUM(B17:B21),0)</f>
        <v/>
      </c>
      <c r="D19" s="70">
        <f>IFERROR(AVERAGEIF(Token_Log!C4:C18,"structural",Token_Log!G4:G18),"-")</f>
        <v/>
      </c>
      <c r="E19" s="80">
        <f>IFERROR(AVERAGEIF(Token_Log!C4:C18,"structural",Token_Log!H4:H18),"-")</f>
        <v/>
      </c>
      <c r="F19" s="71">
        <f>IFERROR(SUMIF(Token_Log!C4:C18,"structural",Token_Log!H4:H18),0)</f>
        <v/>
      </c>
    </row>
    <row r="20">
      <c r="A20" s="21" t="inlineStr">
        <is>
          <t>causal</t>
        </is>
      </c>
      <c r="B20" s="73">
        <f>COUNTIF(Token_Log!C4:C18,"causal")</f>
        <v/>
      </c>
      <c r="C20" s="81">
        <f>IFERROR(B20/SUM(B17:B21),0)</f>
        <v/>
      </c>
      <c r="D20" s="72">
        <f>IFERROR(AVERAGEIF(Token_Log!C4:C18,"causal",Token_Log!G4:G18),"-")</f>
        <v/>
      </c>
      <c r="E20" s="82">
        <f>IFERROR(AVERAGEIF(Token_Log!C4:C18,"causal",Token_Log!H4:H18),"-")</f>
        <v/>
      </c>
      <c r="F20" s="73">
        <f>IFERROR(SUMIF(Token_Log!C4:C18,"causal",Token_Log!H4:H18),0)</f>
        <v/>
      </c>
    </row>
    <row r="21">
      <c r="A21" s="21" t="inlineStr">
        <is>
          <t>theoretical</t>
        </is>
      </c>
      <c r="B21" s="71">
        <f>COUNTIF(Token_Log!C4:C18,"theoretical")</f>
        <v/>
      </c>
      <c r="C21" s="79">
        <f>IFERROR(B21/SUM(B17:B21),0)</f>
        <v/>
      </c>
      <c r="D21" s="70">
        <f>IFERROR(AVERAGEIF(Token_Log!C4:C18,"theoretical",Token_Log!G4:G18),"-")</f>
        <v/>
      </c>
      <c r="E21" s="80">
        <f>IFERROR(AVERAGEIF(Token_Log!C4:C18,"theoretical",Token_Log!H4:H18),"-")</f>
        <v/>
      </c>
      <c r="F21" s="71">
        <f>IFERROR(SUMIF(Token_Log!C4:C18,"theoretical",Token_Log!H4:H18),0)</f>
        <v/>
      </c>
    </row>
    <row r="22">
      <c r="A22" s="11" t="inlineStr">
        <is>
          <t>TOTAL</t>
        </is>
      </c>
      <c r="B22" s="83">
        <f>SUM(B17:B21)</f>
        <v/>
      </c>
      <c r="C22" s="84">
        <f>SUM(C17:C21)</f>
        <v/>
      </c>
      <c r="D22" s="85">
        <f>IFERROR(AVERAGE(Token_Log!G4:G18),"")</f>
        <v/>
      </c>
      <c r="E22" s="86">
        <f>IFERROR(AVERAGE(Token_Log!H4:H18),"")</f>
        <v/>
      </c>
      <c r="F22" s="83">
        <f>SUM(F17:F21)</f>
        <v/>
      </c>
    </row>
    <row r="24" ht="16" customHeight="1">
      <c r="A24" s="4" t="inlineStr">
        <is>
          <t>C. Rarity Band Distribution</t>
        </is>
      </c>
      <c r="B24" s="5" t="n"/>
      <c r="C24" s="5" t="n"/>
      <c r="D24" s="5" t="n"/>
      <c r="E24" s="5" t="n"/>
      <c r="F24" s="6" t="n"/>
    </row>
    <row r="25" ht="18" customHeight="1">
      <c r="A25" s="7" t="inlineStr">
        <is>
          <t>Band</t>
        </is>
      </c>
      <c r="B25" s="7" t="inlineStr">
        <is>
          <t>Score Range</t>
        </is>
      </c>
      <c r="C25" s="7" t="inlineStr">
        <is>
          <t>Count</t>
        </is>
      </c>
      <c r="D25" s="7" t="inlineStr">
        <is>
          <t>% of Portfolio</t>
        </is>
      </c>
      <c r="E25" s="7" t="inlineStr">
        <is>
          <t>Avg Amount</t>
        </is>
      </c>
      <c r="F25" s="7" t="inlineStr"/>
    </row>
    <row r="26">
      <c r="A26" s="21" t="inlineStr">
        <is>
          <t>Very Rare</t>
        </is>
      </c>
      <c r="B26" s="87" t="inlineStr">
        <is>
          <t>≥ 0.75</t>
        </is>
      </c>
      <c r="C26" s="88">
        <f>COUNTIF(Token_Log!G4:G18,"&gt;="&amp;0.75)</f>
        <v/>
      </c>
      <c r="D26" s="89">
        <f>IFERROR(C26/SUM(C26:C29),0)</f>
        <v/>
      </c>
      <c r="E26" s="90">
        <f>IFERROR(AVERAGEIF(Token_Log!G4:G18,"&gt;="&amp;0.75,Token_Log!H4:H18),"-")</f>
        <v/>
      </c>
    </row>
    <row r="27">
      <c r="A27" s="21" t="inlineStr">
        <is>
          <t>Rare</t>
        </is>
      </c>
      <c r="B27" s="91" t="inlineStr">
        <is>
          <t>0.50–0.74</t>
        </is>
      </c>
      <c r="C27" s="92">
        <f>COUNTIFS(Token_Log!G4:G18,"&gt;="&amp;0.5,Token_Log!G4:G18,"&lt;"&amp;0.75)</f>
        <v/>
      </c>
      <c r="D27" s="93">
        <f>IFERROR(C27/SUM(C26:C29),0)</f>
        <v/>
      </c>
      <c r="E27" s="94">
        <f>IFERROR(AVERAGEIFS(Token_Log!H4:H18,Token_Log!G4:G18,"&gt;="&amp;0.5,Token_Log!G4:G18,"&lt;"&amp;0.75),"-")</f>
        <v/>
      </c>
    </row>
    <row r="28">
      <c r="A28" s="21" t="inlineStr">
        <is>
          <t>Uncommon</t>
        </is>
      </c>
      <c r="B28" s="95" t="inlineStr">
        <is>
          <t>0.25–0.49</t>
        </is>
      </c>
      <c r="C28" s="96">
        <f>COUNTIFS(Token_Log!G4:G18,"&gt;="&amp;0.25,Token_Log!G4:G18,"&lt;"&amp;0.5)</f>
        <v/>
      </c>
      <c r="D28" s="97">
        <f>IFERROR(C28/SUM(C26:C29),0)</f>
        <v/>
      </c>
      <c r="E28" s="98">
        <f>IFERROR(AVERAGEIFS(Token_Log!H4:H18,Token_Log!G4:G18,"&gt;="&amp;0.25,Token_Log!G4:G18,"&lt;"&amp;0.5),"-")</f>
        <v/>
      </c>
    </row>
    <row r="29">
      <c r="A29" s="21" t="inlineStr">
        <is>
          <t>Common</t>
        </is>
      </c>
      <c r="B29" s="99" t="inlineStr">
        <is>
          <t>&lt; 0.25</t>
        </is>
      </c>
      <c r="C29" s="71">
        <f>COUNTIF(Token_Log!G4:G18,"&lt;"&amp;0.25)</f>
        <v/>
      </c>
      <c r="D29" s="79">
        <f>IFERROR(C29/SUM(C26:C29),0)</f>
        <v/>
      </c>
      <c r="E29" s="80">
        <f>IFERROR(AVERAGEIF(Token_Log!G4:G18,"&lt;"&amp;0.25,Token_Log!H4:H18),"-")</f>
        <v/>
      </c>
    </row>
  </sheetData>
  <mergeCells count="5">
    <mergeCell ref="A24:F24"/>
    <mergeCell ref="A2:F2"/>
    <mergeCell ref="A1:F1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2026-05-06T20:41:59Z</dcterms:created>
  <dcterms:modified xsi:type="dcterms:W3CDTF">2026-05-06T20:41:59Z</dcterms:modified>
</cp:coreProperties>
</file>